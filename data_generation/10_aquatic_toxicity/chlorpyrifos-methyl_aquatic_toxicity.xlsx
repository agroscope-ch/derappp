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6357F18D-9AEC-447D-BE41-64ACFCFEA48C}" xr6:coauthVersionLast="47" xr6:coauthVersionMax="47" xr10:uidLastSave="{00000000-0000-0000-0000-000000000000}"/>
  <bookViews>
    <workbookView xWindow="28680" yWindow="-120" windowWidth="29040" windowHeight="175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" i="1" l="1"/>
</calcChain>
</file>

<file path=xl/sharedStrings.xml><?xml version="1.0" encoding="utf-8"?>
<sst xmlns="http://schemas.openxmlformats.org/spreadsheetml/2006/main" count="290" uniqueCount="62">
  <si>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</si>
  <si>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</si>
  <si>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</si>
  <si>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</si>
  <si>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</si>
  <si>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</si>
  <si>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</si>
  <si>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</si>
  <si>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</si>
  <si>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</si>
  <si>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</si>
  <si>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</si>
  <si>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</si>
  <si>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</si>
  <si>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</si>
  <si>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</si>
  <si>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</si>
  <si>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</si>
  <si>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</si>
  <si>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</si>
  <si>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</si>
  <si>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</si>
  <si>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flow-through</t>
  </si>
  <si>
    <t>96 h</t>
  </si>
  <si>
    <t>mortality</t>
  </si>
  <si>
    <t>NOEC</t>
  </si>
  <si>
    <t>static</t>
  </si>
  <si>
    <t>Daphnia magna</t>
  </si>
  <si>
    <t>48 h</t>
  </si>
  <si>
    <t>EC50</t>
  </si>
  <si>
    <t>21 d</t>
  </si>
  <si>
    <t>72 h</t>
  </si>
  <si>
    <t>growth rate</t>
  </si>
  <si>
    <t>sk_RAR</t>
  </si>
  <si>
    <t>page_RAR</t>
  </si>
  <si>
    <t>Chironomus riparius</t>
  </si>
  <si>
    <t>TRUE</t>
  </si>
  <si>
    <t>Oncorhynchus mykiss</t>
  </si>
  <si>
    <t>mm</t>
  </si>
  <si>
    <t>semi-static</t>
  </si>
  <si>
    <t>Pseudokirchneriella subcapitata</t>
  </si>
  <si>
    <t>nom</t>
  </si>
  <si>
    <t>Chlorpyrifos-methyl</t>
  </si>
  <si>
    <t>LC50</t>
  </si>
  <si>
    <t>=</t>
  </si>
  <si>
    <t>μg/L</t>
  </si>
  <si>
    <t>Chlorpyrifos-methyl_RAR_32_LoEP_2017-07-03</t>
  </si>
  <si>
    <t>RAR LoEP</t>
  </si>
  <si>
    <t>RELDAN 22</t>
  </si>
  <si>
    <t>GF1684</t>
  </si>
  <si>
    <t>SAPCHLORI</t>
  </si>
  <si>
    <t>GF 1684</t>
  </si>
  <si>
    <t>Gammarus pulex</t>
  </si>
  <si>
    <t>yield</t>
  </si>
  <si>
    <t>EC10</t>
  </si>
  <si>
    <t>other</t>
  </si>
  <si>
    <t>mamr</t>
  </si>
  <si>
    <t>rajo</t>
  </si>
  <si>
    <t>Recorded as 1.57 μg product/L, converted to active substance using the density of 1.06 g/mL (RAR Vol 3 CP SAP200CLORI) and the active substance content of 200 g/L as specified in the GAP section of the LoEP.</t>
  </si>
  <si>
    <t>FALSE</t>
  </si>
  <si>
    <t>Must be based on active substance, as it is mean measured</t>
  </si>
  <si>
    <t>Must be based on active substance, as it is mean measured (confirmed in RAR 3CP)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</si>
</sst>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1"/>
    <xf numFmtId="0" fontId="2" fillId="0" borderId="0" xfId="1" applyAlignment="1">
      <alignment horizontal="right" vertical="center" wrapText="1"/>
    </xf>
    <xf numFmtId="0" fontId="2" fillId="0" borderId="0" xfId="1" applyAlignment="1">
      <alignment vertical="center" wrapText="1"/>
    </xf>
    <xf numFmtId="0" fontId="3" fillId="0" borderId="0" xfId="2" applyAlignment="1">
      <alignment vertical="center" wrapText="1"/>
    </xf>
    <xf numFmtId="0" fontId="2" fillId="0" borderId="0" xfId="1"/>
    <xf numFmtId="0" fontId="2" fillId="0" borderId="0" xfId="1" applyAlignment="1">
      <alignment horizontal="right" vertical="center" wrapText="1"/>
    </xf>
    <xf numFmtId="0" fontId="2" fillId="0" borderId="0" xfId="1" applyAlignment="1">
      <alignment vertical="center" wrapText="1"/>
    </xf>
    <xf numFmtId="0" fontId="3" fillId="0" borderId="0" xfId="2" applyAlignment="1">
      <alignment vertical="center" wrapText="1"/>
    </xf>
    <xf numFmtId="0" fontId="0" fillId="0" borderId="0" xfId="0" applyFont="1" applyAlignment="1">
      <alignment horizontal="center" vertical="center" wrapText="1"/>
    </xf>
    <xf numFmtId="171" fontId="2" fillId="0" borderId="0" xfId="1" applyNumberFormat="1" applyAlignment="1">
      <alignment horizontal="right" vertical="center" wrapText="1"/>
    </xf>
    <xf numFmtId="0" fontId="2" fillId="0" borderId="0" xfId="1" applyFill="1" applyAlignment="1">
      <alignment vertical="center" wrapText="1"/>
    </xf>
    <xf numFmtId="0" fontId="2" fillId="2" borderId="0" xfId="1" applyFill="1" applyAlignment="1">
      <alignment vertical="center" wrapText="1"/>
    </xf>
    <xf numFmtId="0" fontId="2" fillId="2" borderId="0" xfId="1" applyFill="1" applyAlignment="1">
      <alignment horizontal="right" vertical="center" wrapText="1"/>
    </xf>
    <xf numFmtId="0" fontId="2" fillId="2" borderId="0" xfId="1" applyFill="1"/>
    <xf numFmtId="0" fontId="3" fillId="2" borderId="0" xfId="2" applyFill="1" applyAlignment="1">
      <alignment vertical="center" wrapText="1"/>
    </xf>
    <xf numFmtId="0" fontId="0" fillId="2" borderId="0" xfId="0" applyFont="1" applyFill="1" applyAlignment="1">
      <alignment horizontal="center" vertical="center" wrapText="1"/>
    </xf>
    <xf numFmtId="0" fontId="0" fillId="2" borderId="0" xfId="0" applyFill="1"/>
  </cellXfs>
  <cellStyles count="4">
    <cellStyle name="Standard" xfId="0" builtinId="0"/>
    <cellStyle name="Standard 2" xfId="1" xr:uid="{CC97A714-F74B-4EF7-90A5-F0918A1EC4E7}"/>
    <cellStyle name="Standard 2 2" xfId="3" xr:uid="{E5086EA2-CBFB-4B46-AEB3-E6ECA6B6D647}"/>
    <cellStyle name="Standard 3" xfId="2" xr:uid="{9B5B5D5B-C39C-4565-A55E-D600A2303B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dimension ref="A1:X18"/>
  <sheetViews>
    <sheetView tabSelected="1" zoomScale="90" zoomScaleNormal="90" workbookViewId="0">
      <pane ySplit="1" topLeftCell="A2" activePane="bottomLeft" state="frozen"/>
      <selection pane="bottomLeft" activeCell="A15" sqref="A15:XFD18"/>
    </sheetView>
  </sheetViews>
  <sheetFormatPr baseColWidth="10" defaultRowHeight="15" x14ac:dyDescent="0.25"/>
  <cols>
    <col min="1" max="1" width="17.28515625" customWidth="1"/>
    <col min="2" max="2" width="17" customWidth="1"/>
    <col min="3" max="3" width="21.140625" customWidth="1"/>
    <col min="4" max="4" width="10.140625" customWidth="1"/>
    <col min="5" max="5" width="15.5703125" customWidth="1"/>
    <col min="6" max="6" width="12.140625" customWidth="1"/>
    <col min="7" max="7" width="8.85546875" customWidth="1"/>
    <col min="9" max="9" width="12.42578125" customWidth="1"/>
    <col min="10" max="10" width="17.140625" customWidth="1"/>
    <col min="12" max="12" width="6.42578125" style="3" customWidth="1"/>
    <col min="13" max="13" width="14.140625" bestFit="1" customWidth="1"/>
    <col min="14" max="14" width="7.42578125" customWidth="1"/>
    <col min="15" max="15" width="6.5703125" customWidth="1"/>
    <col min="16" max="16" width="16.42578125" customWidth="1"/>
    <col min="17" max="17" width="7.28515625" customWidth="1"/>
    <col min="18" max="18" width="9.140625" customWidth="1"/>
    <col min="19" max="19" width="6.85546875" customWidth="1"/>
    <col min="20" max="20" width="7.85546875" customWidth="1"/>
    <col min="21" max="21" width="9.85546875" customWidth="1"/>
    <col min="22" max="22" width="35.140625" customWidth="1"/>
    <col min="23" max="23" width="7" customWidth="1"/>
    <col min="24" max="24" width="6.85546875" customWidth="1"/>
  </cols>
  <sheetData>
    <row r="1" spans="1:24" s="2" customFormat="1" ht="30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33</v>
      </c>
      <c r="S1" s="1" t="s">
        <v>34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s="2" customFormat="1" ht="28.5" x14ac:dyDescent="0.25">
      <c r="A2" s="11" t="s">
        <v>42</v>
      </c>
      <c r="B2" s="11"/>
      <c r="C2" s="11" t="s">
        <v>37</v>
      </c>
      <c r="D2" s="10">
        <v>1</v>
      </c>
      <c r="E2" s="11" t="s">
        <v>22</v>
      </c>
      <c r="F2" s="11"/>
      <c r="G2" s="11" t="s">
        <v>23</v>
      </c>
      <c r="H2" s="11"/>
      <c r="I2" s="11" t="s">
        <v>24</v>
      </c>
      <c r="J2" s="11"/>
      <c r="K2" s="11" t="s">
        <v>43</v>
      </c>
      <c r="L2" s="11" t="s">
        <v>44</v>
      </c>
      <c r="M2" s="10">
        <v>410</v>
      </c>
      <c r="N2" s="11" t="s">
        <v>45</v>
      </c>
      <c r="O2" s="11" t="s">
        <v>38</v>
      </c>
      <c r="P2" s="9" t="s">
        <v>46</v>
      </c>
      <c r="Q2" s="11">
        <v>172</v>
      </c>
      <c r="R2" s="9" t="s">
        <v>46</v>
      </c>
      <c r="S2" s="11">
        <v>172</v>
      </c>
      <c r="T2" s="11" t="s">
        <v>36</v>
      </c>
      <c r="U2" s="12" t="s">
        <v>47</v>
      </c>
      <c r="V2" s="1"/>
      <c r="W2" s="13" t="s">
        <v>56</v>
      </c>
      <c r="X2" s="1" t="s">
        <v>57</v>
      </c>
    </row>
    <row r="3" spans="1:24" ht="28.5" x14ac:dyDescent="0.25">
      <c r="A3" s="7" t="s">
        <v>42</v>
      </c>
      <c r="B3" s="7" t="s">
        <v>48</v>
      </c>
      <c r="C3" s="7" t="s">
        <v>37</v>
      </c>
      <c r="D3" s="6">
        <v>2</v>
      </c>
      <c r="E3" s="7" t="s">
        <v>22</v>
      </c>
      <c r="F3" s="7"/>
      <c r="G3" s="7" t="s">
        <v>23</v>
      </c>
      <c r="H3" s="7"/>
      <c r="I3" s="7" t="s">
        <v>24</v>
      </c>
      <c r="J3" s="7"/>
      <c r="K3" s="7" t="s">
        <v>43</v>
      </c>
      <c r="L3" s="7" t="s">
        <v>44</v>
      </c>
      <c r="M3" s="6">
        <v>51</v>
      </c>
      <c r="N3" s="7" t="s">
        <v>45</v>
      </c>
      <c r="O3" s="7" t="s">
        <v>38</v>
      </c>
      <c r="P3" s="9" t="s">
        <v>46</v>
      </c>
      <c r="Q3" s="11">
        <v>172</v>
      </c>
      <c r="R3" s="5" t="s">
        <v>46</v>
      </c>
      <c r="S3" s="7">
        <v>172</v>
      </c>
      <c r="T3" s="7" t="s">
        <v>36</v>
      </c>
      <c r="U3" s="8" t="s">
        <v>47</v>
      </c>
      <c r="V3" s="5"/>
      <c r="W3" s="13" t="s">
        <v>56</v>
      </c>
      <c r="X3" t="s">
        <v>57</v>
      </c>
    </row>
    <row r="4" spans="1:24" ht="28.5" x14ac:dyDescent="0.25">
      <c r="A4" s="7" t="s">
        <v>42</v>
      </c>
      <c r="B4" s="7" t="s">
        <v>49</v>
      </c>
      <c r="C4" s="7" t="s">
        <v>37</v>
      </c>
      <c r="D4" s="6">
        <v>3</v>
      </c>
      <c r="E4" s="7" t="s">
        <v>22</v>
      </c>
      <c r="F4" s="7"/>
      <c r="G4" s="7" t="s">
        <v>23</v>
      </c>
      <c r="H4" s="7"/>
      <c r="I4" s="7" t="s">
        <v>24</v>
      </c>
      <c r="J4" s="7"/>
      <c r="K4" s="7" t="s">
        <v>43</v>
      </c>
      <c r="L4" s="7" t="s">
        <v>44</v>
      </c>
      <c r="M4" s="6">
        <v>106</v>
      </c>
      <c r="N4" s="7" t="s">
        <v>45</v>
      </c>
      <c r="O4" s="7" t="s">
        <v>38</v>
      </c>
      <c r="P4" s="9" t="s">
        <v>46</v>
      </c>
      <c r="Q4" s="11">
        <v>172</v>
      </c>
      <c r="R4" s="5" t="s">
        <v>46</v>
      </c>
      <c r="S4" s="7">
        <v>172</v>
      </c>
      <c r="T4" s="7" t="s">
        <v>36</v>
      </c>
      <c r="U4" s="8" t="s">
        <v>47</v>
      </c>
      <c r="V4" s="5"/>
      <c r="W4" s="13" t="s">
        <v>56</v>
      </c>
      <c r="X4" t="s">
        <v>57</v>
      </c>
    </row>
    <row r="5" spans="1:24" ht="28.5" x14ac:dyDescent="0.25">
      <c r="A5" s="7" t="s">
        <v>42</v>
      </c>
      <c r="B5" s="7"/>
      <c r="C5" s="7" t="s">
        <v>27</v>
      </c>
      <c r="D5" s="6">
        <v>4</v>
      </c>
      <c r="E5" s="7" t="s">
        <v>26</v>
      </c>
      <c r="F5" s="7"/>
      <c r="G5" s="7" t="s">
        <v>28</v>
      </c>
      <c r="H5" s="7"/>
      <c r="I5" s="7" t="s">
        <v>24</v>
      </c>
      <c r="J5" s="7"/>
      <c r="K5" s="7" t="s">
        <v>43</v>
      </c>
      <c r="L5" s="7" t="s">
        <v>44</v>
      </c>
      <c r="M5" s="6">
        <v>0.62</v>
      </c>
      <c r="N5" s="7" t="s">
        <v>45</v>
      </c>
      <c r="O5" s="7" t="s">
        <v>38</v>
      </c>
      <c r="P5" s="9" t="s">
        <v>46</v>
      </c>
      <c r="Q5" s="11">
        <v>173</v>
      </c>
      <c r="R5" s="5" t="s">
        <v>46</v>
      </c>
      <c r="S5" s="7">
        <v>173</v>
      </c>
      <c r="T5" s="7" t="s">
        <v>36</v>
      </c>
      <c r="U5" s="8" t="s">
        <v>47</v>
      </c>
      <c r="V5" s="5"/>
      <c r="W5" s="13" t="s">
        <v>56</v>
      </c>
      <c r="X5" t="s">
        <v>57</v>
      </c>
    </row>
    <row r="6" spans="1:24" ht="28.5" x14ac:dyDescent="0.25">
      <c r="A6" s="7" t="s">
        <v>42</v>
      </c>
      <c r="B6" s="7" t="s">
        <v>48</v>
      </c>
      <c r="C6" s="7" t="s">
        <v>27</v>
      </c>
      <c r="D6" s="6">
        <v>5</v>
      </c>
      <c r="E6" s="7" t="s">
        <v>26</v>
      </c>
      <c r="F6" s="7"/>
      <c r="G6" s="7" t="s">
        <v>28</v>
      </c>
      <c r="H6" s="7"/>
      <c r="I6" s="7" t="s">
        <v>24</v>
      </c>
      <c r="J6" s="7"/>
      <c r="K6" s="7" t="s">
        <v>43</v>
      </c>
      <c r="L6" s="7" t="s">
        <v>44</v>
      </c>
      <c r="M6" s="6">
        <v>0.24</v>
      </c>
      <c r="N6" s="7" t="s">
        <v>45</v>
      </c>
      <c r="O6" s="7" t="s">
        <v>38</v>
      </c>
      <c r="P6" s="9" t="s">
        <v>46</v>
      </c>
      <c r="Q6" s="11">
        <v>173</v>
      </c>
      <c r="R6" s="5" t="s">
        <v>46</v>
      </c>
      <c r="S6" s="7">
        <v>173</v>
      </c>
      <c r="T6" s="7" t="s">
        <v>36</v>
      </c>
      <c r="U6" s="8" t="s">
        <v>47</v>
      </c>
      <c r="V6" s="5"/>
      <c r="W6" s="13" t="s">
        <v>56</v>
      </c>
      <c r="X6" t="s">
        <v>57</v>
      </c>
    </row>
    <row r="7" spans="1:24" ht="28.5" x14ac:dyDescent="0.25">
      <c r="A7" s="7" t="s">
        <v>42</v>
      </c>
      <c r="B7" s="7" t="s">
        <v>49</v>
      </c>
      <c r="C7" s="7" t="s">
        <v>27</v>
      </c>
      <c r="D7" s="6">
        <v>6</v>
      </c>
      <c r="E7" s="7" t="s">
        <v>26</v>
      </c>
      <c r="F7" s="7"/>
      <c r="G7" s="7" t="s">
        <v>28</v>
      </c>
      <c r="H7" s="7"/>
      <c r="I7" s="7" t="s">
        <v>24</v>
      </c>
      <c r="J7" s="7"/>
      <c r="K7" s="7" t="s">
        <v>43</v>
      </c>
      <c r="L7" s="7" t="s">
        <v>44</v>
      </c>
      <c r="M7" s="6">
        <v>0.28599999999999998</v>
      </c>
      <c r="N7" s="7" t="s">
        <v>45</v>
      </c>
      <c r="O7" s="7" t="s">
        <v>38</v>
      </c>
      <c r="P7" s="9" t="s">
        <v>46</v>
      </c>
      <c r="Q7" s="11">
        <v>173</v>
      </c>
      <c r="R7" s="5" t="s">
        <v>46</v>
      </c>
      <c r="S7" s="7">
        <v>173</v>
      </c>
      <c r="T7" s="7" t="s">
        <v>36</v>
      </c>
      <c r="U7" s="8" t="s">
        <v>47</v>
      </c>
      <c r="V7" s="5"/>
      <c r="W7" s="13" t="s">
        <v>56</v>
      </c>
      <c r="X7" t="s">
        <v>57</v>
      </c>
    </row>
    <row r="8" spans="1:24" ht="28.5" x14ac:dyDescent="0.25">
      <c r="A8" s="7" t="s">
        <v>42</v>
      </c>
      <c r="B8" s="7" t="s">
        <v>50</v>
      </c>
      <c r="C8" s="7" t="s">
        <v>27</v>
      </c>
      <c r="D8" s="6">
        <v>7</v>
      </c>
      <c r="E8" s="7" t="s">
        <v>26</v>
      </c>
      <c r="F8" s="7"/>
      <c r="G8" s="7" t="s">
        <v>28</v>
      </c>
      <c r="H8" s="7"/>
      <c r="I8" s="7" t="s">
        <v>24</v>
      </c>
      <c r="J8" s="7"/>
      <c r="K8" s="7" t="s">
        <v>43</v>
      </c>
      <c r="L8" s="7" t="s">
        <v>44</v>
      </c>
      <c r="M8" s="14">
        <f>1.57/1.06*0.2</f>
        <v>0.29622641509433961</v>
      </c>
      <c r="N8" s="7" t="s">
        <v>45</v>
      </c>
      <c r="O8" s="7"/>
      <c r="P8" s="9" t="s">
        <v>46</v>
      </c>
      <c r="Q8" s="11">
        <v>173</v>
      </c>
      <c r="R8" s="5" t="s">
        <v>46</v>
      </c>
      <c r="S8" s="7">
        <v>173</v>
      </c>
      <c r="T8" s="7" t="s">
        <v>36</v>
      </c>
      <c r="U8" s="8" t="s">
        <v>47</v>
      </c>
      <c r="V8" s="5" t="s">
        <v>58</v>
      </c>
      <c r="W8" s="13" t="s">
        <v>56</v>
      </c>
      <c r="X8" t="s">
        <v>57</v>
      </c>
    </row>
    <row r="9" spans="1:24" ht="28.5" x14ac:dyDescent="0.25">
      <c r="A9" s="7" t="s">
        <v>42</v>
      </c>
      <c r="B9" s="7"/>
      <c r="C9" s="7" t="s">
        <v>27</v>
      </c>
      <c r="D9" s="6">
        <v>8</v>
      </c>
      <c r="E9" s="7" t="s">
        <v>39</v>
      </c>
      <c r="F9" s="7"/>
      <c r="G9" s="7" t="s">
        <v>30</v>
      </c>
      <c r="H9" s="7"/>
      <c r="I9" s="7" t="s">
        <v>24</v>
      </c>
      <c r="J9" s="7"/>
      <c r="K9" s="7" t="s">
        <v>25</v>
      </c>
      <c r="L9" s="7" t="s">
        <v>44</v>
      </c>
      <c r="M9" s="6">
        <v>0.01</v>
      </c>
      <c r="N9" s="7" t="s">
        <v>45</v>
      </c>
      <c r="O9" s="7" t="s">
        <v>41</v>
      </c>
      <c r="P9" s="9" t="s">
        <v>46</v>
      </c>
      <c r="Q9" s="11">
        <v>173</v>
      </c>
      <c r="R9" s="5" t="s">
        <v>46</v>
      </c>
      <c r="S9" s="7">
        <v>173</v>
      </c>
      <c r="T9" s="7" t="s">
        <v>36</v>
      </c>
      <c r="U9" s="8" t="s">
        <v>47</v>
      </c>
      <c r="V9" s="5"/>
      <c r="W9" s="13" t="s">
        <v>56</v>
      </c>
      <c r="X9" t="s">
        <v>57</v>
      </c>
    </row>
    <row r="10" spans="1:24" ht="28.5" x14ac:dyDescent="0.25">
      <c r="A10" s="7" t="s">
        <v>42</v>
      </c>
      <c r="B10" s="7" t="s">
        <v>51</v>
      </c>
      <c r="C10" s="7" t="s">
        <v>52</v>
      </c>
      <c r="D10" s="6">
        <v>9</v>
      </c>
      <c r="E10" s="7" t="s">
        <v>26</v>
      </c>
      <c r="F10" s="7"/>
      <c r="G10" s="7" t="s">
        <v>23</v>
      </c>
      <c r="H10" s="7"/>
      <c r="I10" s="7" t="s">
        <v>24</v>
      </c>
      <c r="J10" s="7"/>
      <c r="K10" s="7" t="s">
        <v>43</v>
      </c>
      <c r="L10" s="7" t="s">
        <v>44</v>
      </c>
      <c r="M10" s="6">
        <v>0.36</v>
      </c>
      <c r="N10" s="7" t="s">
        <v>45</v>
      </c>
      <c r="O10" s="7" t="s">
        <v>38</v>
      </c>
      <c r="P10" s="9" t="s">
        <v>46</v>
      </c>
      <c r="Q10" s="11">
        <v>173</v>
      </c>
      <c r="R10" s="5" t="s">
        <v>46</v>
      </c>
      <c r="S10" s="7">
        <v>173</v>
      </c>
      <c r="T10" s="7" t="s">
        <v>36</v>
      </c>
      <c r="U10" s="8" t="s">
        <v>47</v>
      </c>
      <c r="V10" s="5"/>
      <c r="W10" s="13" t="s">
        <v>56</v>
      </c>
      <c r="X10" t="s">
        <v>57</v>
      </c>
    </row>
    <row r="11" spans="1:24" ht="28.5" x14ac:dyDescent="0.25">
      <c r="A11" s="7" t="s">
        <v>42</v>
      </c>
      <c r="B11" s="7" t="s">
        <v>51</v>
      </c>
      <c r="C11" s="7" t="s">
        <v>35</v>
      </c>
      <c r="D11" s="6">
        <v>10</v>
      </c>
      <c r="E11" s="7" t="s">
        <v>26</v>
      </c>
      <c r="F11" s="7"/>
      <c r="G11" s="7" t="s">
        <v>23</v>
      </c>
      <c r="H11" s="7"/>
      <c r="I11" s="7"/>
      <c r="J11" s="7"/>
      <c r="K11" s="7" t="s">
        <v>29</v>
      </c>
      <c r="L11" s="7" t="s">
        <v>44</v>
      </c>
      <c r="M11" s="6">
        <v>0.28999999999999998</v>
      </c>
      <c r="N11" s="7" t="s">
        <v>45</v>
      </c>
      <c r="O11" s="7" t="s">
        <v>38</v>
      </c>
      <c r="P11" s="9" t="s">
        <v>46</v>
      </c>
      <c r="Q11" s="11">
        <v>173</v>
      </c>
      <c r="R11" s="5" t="s">
        <v>46</v>
      </c>
      <c r="S11" s="7">
        <v>173</v>
      </c>
      <c r="T11" s="7" t="s">
        <v>36</v>
      </c>
      <c r="U11" s="8" t="s">
        <v>47</v>
      </c>
      <c r="V11" s="5"/>
      <c r="W11" s="13" t="s">
        <v>56</v>
      </c>
      <c r="X11" t="s">
        <v>57</v>
      </c>
    </row>
    <row r="12" spans="1:24" ht="28.5" x14ac:dyDescent="0.25">
      <c r="A12" s="7" t="s">
        <v>42</v>
      </c>
      <c r="B12" s="7"/>
      <c r="C12" s="7" t="s">
        <v>40</v>
      </c>
      <c r="D12" s="6">
        <v>11</v>
      </c>
      <c r="E12" s="7"/>
      <c r="F12" s="7"/>
      <c r="G12" s="7" t="s">
        <v>23</v>
      </c>
      <c r="H12" s="7"/>
      <c r="I12" s="7" t="s">
        <v>53</v>
      </c>
      <c r="J12" s="7"/>
      <c r="K12" s="7" t="s">
        <v>29</v>
      </c>
      <c r="L12" s="7" t="s">
        <v>44</v>
      </c>
      <c r="M12" s="6">
        <v>293</v>
      </c>
      <c r="N12" s="7" t="s">
        <v>45</v>
      </c>
      <c r="O12" s="7" t="s">
        <v>38</v>
      </c>
      <c r="P12" s="9" t="s">
        <v>46</v>
      </c>
      <c r="Q12" s="11">
        <v>174</v>
      </c>
      <c r="R12" s="5" t="s">
        <v>46</v>
      </c>
      <c r="S12" s="7">
        <v>174</v>
      </c>
      <c r="T12" s="7" t="s">
        <v>36</v>
      </c>
      <c r="U12" s="8" t="s">
        <v>47</v>
      </c>
      <c r="V12" s="7"/>
      <c r="W12" s="13" t="s">
        <v>56</v>
      </c>
      <c r="X12" s="15" t="s">
        <v>57</v>
      </c>
    </row>
    <row r="13" spans="1:24" ht="28.5" x14ac:dyDescent="0.25">
      <c r="A13" s="7" t="s">
        <v>42</v>
      </c>
      <c r="B13" s="7"/>
      <c r="C13" s="7" t="s">
        <v>40</v>
      </c>
      <c r="D13" s="6">
        <v>11</v>
      </c>
      <c r="E13" s="7"/>
      <c r="F13" s="7"/>
      <c r="G13" s="7" t="s">
        <v>23</v>
      </c>
      <c r="H13" s="7"/>
      <c r="I13" s="7" t="s">
        <v>53</v>
      </c>
      <c r="J13" s="7"/>
      <c r="K13" s="7" t="s">
        <v>54</v>
      </c>
      <c r="L13" s="7" t="s">
        <v>44</v>
      </c>
      <c r="M13" s="6">
        <v>106</v>
      </c>
      <c r="N13" s="7" t="s">
        <v>45</v>
      </c>
      <c r="O13" s="7" t="s">
        <v>38</v>
      </c>
      <c r="P13" s="9" t="s">
        <v>46</v>
      </c>
      <c r="Q13" s="11">
        <v>174</v>
      </c>
      <c r="R13" s="5" t="s">
        <v>46</v>
      </c>
      <c r="S13" s="7">
        <v>174</v>
      </c>
      <c r="T13" s="7" t="s">
        <v>36</v>
      </c>
      <c r="U13" s="8" t="s">
        <v>47</v>
      </c>
      <c r="V13" s="7"/>
      <c r="W13" s="13" t="s">
        <v>56</v>
      </c>
      <c r="X13" s="15" t="s">
        <v>57</v>
      </c>
    </row>
    <row r="14" spans="1:24" ht="28.5" x14ac:dyDescent="0.25">
      <c r="A14" s="7" t="s">
        <v>42</v>
      </c>
      <c r="B14" s="7"/>
      <c r="C14" s="7" t="s">
        <v>40</v>
      </c>
      <c r="D14" s="6">
        <v>11</v>
      </c>
      <c r="E14" s="7"/>
      <c r="F14" s="7"/>
      <c r="G14" s="7" t="s">
        <v>23</v>
      </c>
      <c r="H14" s="7"/>
      <c r="I14" s="7" t="s">
        <v>32</v>
      </c>
      <c r="J14" s="7"/>
      <c r="K14" s="7" t="s">
        <v>29</v>
      </c>
      <c r="L14" s="7" t="s">
        <v>44</v>
      </c>
      <c r="M14" s="6">
        <v>633</v>
      </c>
      <c r="N14" s="7" t="s">
        <v>45</v>
      </c>
      <c r="O14" s="7" t="s">
        <v>38</v>
      </c>
      <c r="P14" s="9" t="s">
        <v>46</v>
      </c>
      <c r="Q14" s="11">
        <v>174</v>
      </c>
      <c r="R14" s="5" t="s">
        <v>46</v>
      </c>
      <c r="S14" s="7">
        <v>174</v>
      </c>
      <c r="T14" s="7" t="s">
        <v>36</v>
      </c>
      <c r="U14" s="8" t="s">
        <v>47</v>
      </c>
      <c r="V14" s="7"/>
      <c r="W14" s="13" t="s">
        <v>56</v>
      </c>
      <c r="X14" s="15" t="s">
        <v>57</v>
      </c>
    </row>
    <row r="15" spans="1:24" s="21" customFormat="1" ht="28.5" x14ac:dyDescent="0.25">
      <c r="A15" s="16" t="s">
        <v>42</v>
      </c>
      <c r="B15" s="16" t="s">
        <v>48</v>
      </c>
      <c r="C15" s="16" t="s">
        <v>40</v>
      </c>
      <c r="D15" s="17">
        <v>12</v>
      </c>
      <c r="E15" s="16" t="s">
        <v>26</v>
      </c>
      <c r="F15" s="16"/>
      <c r="G15" s="16" t="s">
        <v>31</v>
      </c>
      <c r="H15" s="16"/>
      <c r="I15" s="16" t="s">
        <v>55</v>
      </c>
      <c r="J15" s="16"/>
      <c r="K15" s="16" t="s">
        <v>29</v>
      </c>
      <c r="L15" s="16" t="s">
        <v>44</v>
      </c>
      <c r="M15" s="17">
        <v>130</v>
      </c>
      <c r="N15" s="16" t="s">
        <v>45</v>
      </c>
      <c r="O15" s="16" t="s">
        <v>38</v>
      </c>
      <c r="P15" s="18" t="s">
        <v>46</v>
      </c>
      <c r="Q15" s="16">
        <v>174</v>
      </c>
      <c r="R15" s="18" t="s">
        <v>46</v>
      </c>
      <c r="S15" s="16">
        <v>174</v>
      </c>
      <c r="T15" s="16" t="s">
        <v>59</v>
      </c>
      <c r="U15" s="19" t="s">
        <v>47</v>
      </c>
      <c r="V15" s="16" t="s">
        <v>60</v>
      </c>
      <c r="W15" s="20" t="s">
        <v>56</v>
      </c>
      <c r="X15" s="16" t="s">
        <v>57</v>
      </c>
    </row>
    <row r="16" spans="1:24" s="21" customFormat="1" ht="28.5" x14ac:dyDescent="0.25">
      <c r="A16" s="16" t="s">
        <v>42</v>
      </c>
      <c r="B16" s="16" t="s">
        <v>48</v>
      </c>
      <c r="C16" s="16" t="s">
        <v>40</v>
      </c>
      <c r="D16" s="17">
        <v>12</v>
      </c>
      <c r="E16" s="16" t="s">
        <v>26</v>
      </c>
      <c r="F16" s="16"/>
      <c r="G16" s="16" t="s">
        <v>31</v>
      </c>
      <c r="H16" s="16"/>
      <c r="I16" s="16" t="s">
        <v>55</v>
      </c>
      <c r="J16" s="16"/>
      <c r="K16" s="16" t="s">
        <v>25</v>
      </c>
      <c r="L16" s="16" t="s">
        <v>44</v>
      </c>
      <c r="M16" s="17">
        <v>30</v>
      </c>
      <c r="N16" s="16" t="s">
        <v>45</v>
      </c>
      <c r="O16" s="16" t="s">
        <v>38</v>
      </c>
      <c r="P16" s="18" t="s">
        <v>46</v>
      </c>
      <c r="Q16" s="16">
        <v>174</v>
      </c>
      <c r="R16" s="18" t="s">
        <v>46</v>
      </c>
      <c r="S16" s="16">
        <v>174</v>
      </c>
      <c r="T16" s="16" t="s">
        <v>59</v>
      </c>
      <c r="U16" s="19" t="s">
        <v>47</v>
      </c>
      <c r="V16" s="16" t="s">
        <v>60</v>
      </c>
      <c r="W16" s="20" t="s">
        <v>56</v>
      </c>
      <c r="X16" s="16" t="s">
        <v>57</v>
      </c>
    </row>
    <row r="17" spans="1:24" s="21" customFormat="1" ht="42.75" x14ac:dyDescent="0.25">
      <c r="A17" s="16" t="s">
        <v>42</v>
      </c>
      <c r="B17" s="16" t="s">
        <v>51</v>
      </c>
      <c r="C17" s="16" t="s">
        <v>40</v>
      </c>
      <c r="D17" s="17">
        <v>13</v>
      </c>
      <c r="E17" s="16" t="s">
        <v>26</v>
      </c>
      <c r="F17" s="16"/>
      <c r="G17" s="16" t="s">
        <v>31</v>
      </c>
      <c r="H17" s="16"/>
      <c r="I17" s="16" t="s">
        <v>53</v>
      </c>
      <c r="J17" s="16"/>
      <c r="K17" s="16" t="s">
        <v>29</v>
      </c>
      <c r="L17" s="16" t="s">
        <v>44</v>
      </c>
      <c r="M17" s="17">
        <v>256</v>
      </c>
      <c r="N17" s="16" t="s">
        <v>45</v>
      </c>
      <c r="O17" s="16" t="s">
        <v>38</v>
      </c>
      <c r="P17" s="18" t="s">
        <v>46</v>
      </c>
      <c r="Q17" s="16">
        <v>174</v>
      </c>
      <c r="R17" s="18" t="s">
        <v>46</v>
      </c>
      <c r="S17" s="16">
        <v>174</v>
      </c>
      <c r="T17" s="16" t="s">
        <v>59</v>
      </c>
      <c r="U17" s="19" t="s">
        <v>47</v>
      </c>
      <c r="V17" s="16" t="s">
        <v>61</v>
      </c>
      <c r="W17" s="20" t="s">
        <v>56</v>
      </c>
      <c r="X17" s="16" t="s">
        <v>57</v>
      </c>
    </row>
    <row r="18" spans="1:24" s="21" customFormat="1" ht="42.75" x14ac:dyDescent="0.25">
      <c r="A18" s="16" t="s">
        <v>42</v>
      </c>
      <c r="B18" s="16" t="s">
        <v>51</v>
      </c>
      <c r="C18" s="16" t="s">
        <v>40</v>
      </c>
      <c r="D18" s="17">
        <v>13</v>
      </c>
      <c r="E18" s="16" t="s">
        <v>26</v>
      </c>
      <c r="F18" s="16"/>
      <c r="G18" s="16" t="s">
        <v>31</v>
      </c>
      <c r="H18" s="16"/>
      <c r="I18" s="16" t="s">
        <v>32</v>
      </c>
      <c r="J18" s="16"/>
      <c r="K18" s="16" t="s">
        <v>29</v>
      </c>
      <c r="L18" s="16" t="s">
        <v>44</v>
      </c>
      <c r="M18" s="17">
        <v>351</v>
      </c>
      <c r="N18" s="16" t="s">
        <v>45</v>
      </c>
      <c r="O18" s="16" t="s">
        <v>38</v>
      </c>
      <c r="P18" s="18" t="s">
        <v>46</v>
      </c>
      <c r="Q18" s="16">
        <v>174</v>
      </c>
      <c r="R18" s="18" t="s">
        <v>46</v>
      </c>
      <c r="S18" s="16">
        <v>174</v>
      </c>
      <c r="T18" s="16" t="s">
        <v>59</v>
      </c>
      <c r="U18" s="19" t="s">
        <v>47</v>
      </c>
      <c r="V18" s="16" t="s">
        <v>61</v>
      </c>
      <c r="W18" s="20" t="s">
        <v>56</v>
      </c>
      <c r="X18" s="16" t="s">
        <v>57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2026-07-07T08:15:57Z</dcterms:created>
  <dcterms:modified xsi:type="dcterms:W3CDTF">2026-09-01T14:27:55Z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2026-07-28T08:56:11Z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3e440c00-5be4-4537-8800-d4f4f7ce5f42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