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10_aquatic_toxicity\"/>
    </mc:Choice>
  </mc:AlternateContent>
  <xr:revisionPtr revIDLastSave="0" documentId="13_ncr:1_{16649F92-B193-4C6E-911A-C1FC7348AD1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aquatic_endpoints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8" i="6" l="1"/>
  <c r="M17" i="6"/>
  <c r="M10" i="6"/>
  <c r="M4" i="6"/>
</calcChain>
</file>

<file path=xl/sharedStrings.xml><?xml version="1.0" encoding="utf-8"?>
<sst xmlns="http://schemas.openxmlformats.org/spreadsheetml/2006/main" count="347" uniqueCount="67">
  <si>
    <t>Oncorhynchus mykiss</t>
  </si>
  <si>
    <t>Daphnia magna</t>
  </si>
  <si>
    <t>EC50</t>
  </si>
  <si>
    <t>nom</t>
  </si>
  <si>
    <t>static</t>
  </si>
  <si>
    <t>formulation</t>
  </si>
  <si>
    <t>species</t>
  </si>
  <si>
    <t>effect</t>
  </si>
  <si>
    <t>test_system</t>
  </si>
  <si>
    <t>value</t>
  </si>
  <si>
    <t>unit</t>
  </si>
  <si>
    <t>measured</t>
  </si>
  <si>
    <t>sk</t>
  </si>
  <si>
    <t>page</t>
  </si>
  <si>
    <t>mg/L</t>
  </si>
  <si>
    <t>selected</t>
  </si>
  <si>
    <t>reason</t>
  </si>
  <si>
    <t>note</t>
  </si>
  <si>
    <t>96 h</t>
  </si>
  <si>
    <t>72 h</t>
  </si>
  <si>
    <t>level</t>
  </si>
  <si>
    <t>substance</t>
  </si>
  <si>
    <t>sign</t>
  </si>
  <si>
    <t>test_nr</t>
  </si>
  <si>
    <t>recorded</t>
  </si>
  <si>
    <t>checked</t>
  </si>
  <si>
    <t>test_system_details</t>
  </si>
  <si>
    <t>duration</t>
  </si>
  <si>
    <t>life_stage</t>
  </si>
  <si>
    <t>effect_details</t>
  </si>
  <si>
    <t>semi-static</t>
  </si>
  <si>
    <t>biomass</t>
  </si>
  <si>
    <t>growth rate</t>
  </si>
  <si>
    <t>mortality</t>
  </si>
  <si>
    <t>&gt;</t>
  </si>
  <si>
    <t>28 d</t>
  </si>
  <si>
    <t>mm</t>
  </si>
  <si>
    <t>reproduction</t>
  </si>
  <si>
    <t>NOEC</t>
  </si>
  <si>
    <t>48 h</t>
  </si>
  <si>
    <t>Pseudokirchneriella subcapitata</t>
  </si>
  <si>
    <t>21 d</t>
  </si>
  <si>
    <t>sk_RAR</t>
  </si>
  <si>
    <t>page_RAR</t>
  </si>
  <si>
    <t>Cyprinus carpio</t>
  </si>
  <si>
    <t>Spollonante G</t>
  </si>
  <si>
    <t>growth</t>
  </si>
  <si>
    <t>Anabaena flos-aquae</t>
  </si>
  <si>
    <t>120 h</t>
  </si>
  <si>
    <t>yield</t>
  </si>
  <si>
    <t>K-Salt Fruit Fix 8003</t>
  </si>
  <si>
    <t>14 d</t>
  </si>
  <si>
    <t>Fronds</t>
  </si>
  <si>
    <t>Fruit Fix Super Concentrate 8003</t>
  </si>
  <si>
    <t>mamr</t>
  </si>
  <si>
    <t>j.efsa.2011.2019</t>
  </si>
  <si>
    <t>End points are presented as units of a.s.</t>
  </si>
  <si>
    <t>rajo</t>
  </si>
  <si>
    <t>&lt;</t>
  </si>
  <si>
    <t>1-Naphthylacetic acid</t>
  </si>
  <si>
    <t>1-Naphthylacetic acid sodium salt</t>
  </si>
  <si>
    <t>Reported as &gt;82 mg/L 1-naphthylacetic acid</t>
  </si>
  <si>
    <t>Reported as 18,05 mg/L 1-naphthylacetic acid</t>
  </si>
  <si>
    <t>Reported as 26,62 mg/L 1-naphthylacetic acid</t>
  </si>
  <si>
    <t>TRUE</t>
  </si>
  <si>
    <t>EFSA LoEP</t>
  </si>
  <si>
    <t>Lemna gibba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</si>
</sst>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Fill="1" applyAlignment="1">
      <alignment wrapText="1"/>
    </xf>
    <xf numFmtId="0" fontId="2" fillId="0" borderId="0" xfId="0" applyFont="1" applyAlignment="1">
      <alignment horizontal="center" vertical="center" wrapText="1"/>
    </xf>
    <xf numFmtId="0" fontId="0" fillId="0" borderId="0" xfId="0" applyFill="1" applyAlignment="1"/>
    <xf numFmtId="0" fontId="0" fillId="0" borderId="0" xfId="0" applyAlignment="1"/>
    <xf numFmtId="0" fontId="0" fillId="0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6ADCA-0F97-4E34-A600-B1604EAF90B0}">
  <dimension ref="A1:X24"/>
  <sheetViews>
    <sheetView tabSelected="1" zoomScale="90" zoomScaleNormal="90" workbookViewId="0">
      <pane ySplit="1" topLeftCell="A2" activePane="bottomLeft" state="frozen"/>
      <selection pane="bottomLeft" activeCell="A4" sqref="A4"/>
    </sheetView>
  </sheetViews>
  <sheetFormatPr baseColWidth="10" defaultColWidth="9.453125" defaultRowHeight="14.5" x14ac:dyDescent="0.35"/>
  <cols>
    <col min="1" max="1" width="28" style="3" customWidth="1"/>
    <col min="2" max="2" width="16.54296875" style="3" customWidth="1"/>
    <col min="3" max="3" width="17.453125" style="3" customWidth="1"/>
    <col min="4" max="4" width="7.453125" style="3" customWidth="1"/>
    <col min="5" max="5" width="13.1796875" style="3" customWidth="1"/>
    <col min="6" max="6" width="22.453125" style="3" customWidth="1"/>
    <col min="7" max="7" width="8.54296875" style="3" customWidth="1"/>
    <col min="8" max="8" width="9.453125" style="3"/>
    <col min="9" max="9" width="9.453125" style="3" customWidth="1"/>
    <col min="10" max="10" width="14.26953125" style="3" customWidth="1"/>
    <col min="11" max="11" width="9.453125" style="3"/>
    <col min="12" max="12" width="5.54296875" style="3" customWidth="1"/>
    <col min="13" max="13" width="12.7265625" style="3" bestFit="1" customWidth="1"/>
    <col min="14" max="14" width="9.453125" style="3"/>
    <col min="15" max="15" width="11.7265625" style="3" customWidth="1"/>
    <col min="16" max="16" width="17.453125" style="3" customWidth="1"/>
    <col min="17" max="17" width="9.453125" style="3"/>
    <col min="18" max="18" width="14.26953125" style="3" customWidth="1"/>
    <col min="19" max="19" width="13.1796875" style="3" customWidth="1"/>
    <col min="20" max="20" width="9.453125" style="4"/>
    <col min="21" max="16384" width="9.453125" style="3"/>
  </cols>
  <sheetData>
    <row r="1" spans="1:24" s="1" customFormat="1" x14ac:dyDescent="0.35">
      <c r="A1" s="2" t="s">
        <v>21</v>
      </c>
      <c r="B1" s="2" t="s">
        <v>5</v>
      </c>
      <c r="C1" s="2" t="s">
        <v>6</v>
      </c>
      <c r="D1" s="2" t="s">
        <v>23</v>
      </c>
      <c r="E1" s="2" t="s">
        <v>8</v>
      </c>
      <c r="F1" s="2" t="s">
        <v>26</v>
      </c>
      <c r="G1" s="2" t="s">
        <v>27</v>
      </c>
      <c r="H1" s="2" t="s">
        <v>28</v>
      </c>
      <c r="I1" s="2" t="s">
        <v>7</v>
      </c>
      <c r="J1" s="2" t="s">
        <v>29</v>
      </c>
      <c r="K1" s="2" t="s">
        <v>20</v>
      </c>
      <c r="L1" s="2" t="s">
        <v>22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42</v>
      </c>
      <c r="S1" s="2" t="s">
        <v>43</v>
      </c>
      <c r="T1" s="2" t="s">
        <v>15</v>
      </c>
      <c r="U1" s="2" t="s">
        <v>16</v>
      </c>
      <c r="V1" s="2" t="s">
        <v>17</v>
      </c>
      <c r="W1" s="2" t="s">
        <v>24</v>
      </c>
      <c r="X1" s="2" t="s">
        <v>25</v>
      </c>
    </row>
    <row r="2" spans="1:24" s="1" customFormat="1" x14ac:dyDescent="0.35">
      <c r="A2" s="7" t="s">
        <v>59</v>
      </c>
      <c r="B2" s="7"/>
      <c r="C2" s="7" t="s">
        <v>44</v>
      </c>
      <c r="D2" s="6">
        <v>1</v>
      </c>
      <c r="E2" s="7" t="s">
        <v>4</v>
      </c>
      <c r="F2" s="7"/>
      <c r="G2" s="7" t="s">
        <v>18</v>
      </c>
      <c r="H2" s="7"/>
      <c r="I2" s="7" t="s">
        <v>33</v>
      </c>
      <c r="J2" s="7"/>
      <c r="K2" s="7" t="s">
        <v>2</v>
      </c>
      <c r="L2" s="7" t="s">
        <v>34</v>
      </c>
      <c r="M2" s="6">
        <v>56</v>
      </c>
      <c r="N2" s="7" t="s">
        <v>14</v>
      </c>
      <c r="O2" s="7" t="s">
        <v>3</v>
      </c>
      <c r="P2" s="7" t="s">
        <v>55</v>
      </c>
      <c r="Q2" s="6">
        <v>43</v>
      </c>
      <c r="R2" s="3"/>
      <c r="S2" s="3"/>
      <c r="T2" s="7" t="s">
        <v>64</v>
      </c>
      <c r="U2" s="7" t="s">
        <v>65</v>
      </c>
      <c r="V2" s="7"/>
      <c r="W2" s="5" t="s">
        <v>54</v>
      </c>
      <c r="X2" s="3" t="s">
        <v>57</v>
      </c>
    </row>
    <row r="3" spans="1:24" x14ac:dyDescent="0.35">
      <c r="A3" s="7" t="s">
        <v>59</v>
      </c>
      <c r="B3" s="7"/>
      <c r="C3" s="7" t="s">
        <v>44</v>
      </c>
      <c r="D3" s="6">
        <v>1</v>
      </c>
      <c r="E3" s="7" t="s">
        <v>4</v>
      </c>
      <c r="F3" s="7"/>
      <c r="G3" s="7" t="s">
        <v>18</v>
      </c>
      <c r="H3" s="7"/>
      <c r="I3" s="7" t="s">
        <v>33</v>
      </c>
      <c r="J3" s="7"/>
      <c r="K3" s="7" t="s">
        <v>2</v>
      </c>
      <c r="L3" s="7" t="s">
        <v>58</v>
      </c>
      <c r="M3" s="6">
        <v>100</v>
      </c>
      <c r="N3" s="7" t="s">
        <v>14</v>
      </c>
      <c r="O3" s="7" t="s">
        <v>3</v>
      </c>
      <c r="P3" s="7" t="s">
        <v>55</v>
      </c>
      <c r="Q3" s="6">
        <v>43</v>
      </c>
      <c r="T3" s="7" t="s">
        <v>64</v>
      </c>
      <c r="U3" s="7" t="s">
        <v>65</v>
      </c>
      <c r="V3" s="7"/>
      <c r="W3" s="5" t="s">
        <v>54</v>
      </c>
      <c r="X3" s="3" t="s">
        <v>57</v>
      </c>
    </row>
    <row r="4" spans="1:24" ht="72.5" x14ac:dyDescent="0.35">
      <c r="A4" s="7" t="s">
        <v>60</v>
      </c>
      <c r="B4" s="7"/>
      <c r="C4" s="7" t="s">
        <v>44</v>
      </c>
      <c r="D4" s="6">
        <v>2</v>
      </c>
      <c r="E4" s="7" t="s">
        <v>4</v>
      </c>
      <c r="G4" s="7" t="s">
        <v>18</v>
      </c>
      <c r="I4" s="7" t="s">
        <v>33</v>
      </c>
      <c r="K4" s="7" t="s">
        <v>2</v>
      </c>
      <c r="L4" s="7" t="s">
        <v>34</v>
      </c>
      <c r="M4" s="6">
        <f>82*(208.19/186.21)</f>
        <v>91.679179421083731</v>
      </c>
      <c r="N4" s="7" t="s">
        <v>14</v>
      </c>
      <c r="O4" s="7" t="s">
        <v>3</v>
      </c>
      <c r="P4" s="7" t="s">
        <v>55</v>
      </c>
      <c r="Q4" s="6">
        <v>43</v>
      </c>
      <c r="T4" s="7" t="s">
        <v>64</v>
      </c>
      <c r="U4" s="7" t="s">
        <v>65</v>
      </c>
      <c r="V4" s="7" t="s">
        <v>61</v>
      </c>
      <c r="W4" s="5" t="s">
        <v>54</v>
      </c>
      <c r="X4" s="3" t="s">
        <v>57</v>
      </c>
    </row>
    <row r="5" spans="1:24" ht="29" x14ac:dyDescent="0.35">
      <c r="A5" s="7" t="s">
        <v>59</v>
      </c>
      <c r="B5" s="7"/>
      <c r="C5" s="7" t="s">
        <v>0</v>
      </c>
      <c r="D5" s="6">
        <v>3</v>
      </c>
      <c r="E5" s="7" t="s">
        <v>4</v>
      </c>
      <c r="F5" s="7"/>
      <c r="G5" s="7" t="s">
        <v>18</v>
      </c>
      <c r="H5" s="7"/>
      <c r="I5" s="7" t="s">
        <v>33</v>
      </c>
      <c r="J5" s="7"/>
      <c r="K5" s="7" t="s">
        <v>2</v>
      </c>
      <c r="L5" s="7"/>
      <c r="M5" s="6">
        <v>75</v>
      </c>
      <c r="N5" s="7" t="s">
        <v>14</v>
      </c>
      <c r="O5" s="7" t="s">
        <v>3</v>
      </c>
      <c r="P5" s="7" t="s">
        <v>55</v>
      </c>
      <c r="Q5" s="6">
        <v>43</v>
      </c>
      <c r="T5" s="7" t="s">
        <v>64</v>
      </c>
      <c r="U5" s="7" t="s">
        <v>65</v>
      </c>
      <c r="V5" s="7"/>
      <c r="W5" s="5" t="s">
        <v>54</v>
      </c>
      <c r="X5" s="3" t="s">
        <v>57</v>
      </c>
    </row>
    <row r="6" spans="1:24" ht="29" x14ac:dyDescent="0.35">
      <c r="A6" s="7" t="s">
        <v>59</v>
      </c>
      <c r="B6" s="7" t="s">
        <v>45</v>
      </c>
      <c r="C6" s="7" t="s">
        <v>0</v>
      </c>
      <c r="D6" s="6">
        <v>4</v>
      </c>
      <c r="E6" s="7" t="s">
        <v>4</v>
      </c>
      <c r="F6" s="7"/>
      <c r="G6" s="7" t="s">
        <v>18</v>
      </c>
      <c r="H6" s="7"/>
      <c r="I6" s="7" t="s">
        <v>33</v>
      </c>
      <c r="J6" s="7"/>
      <c r="K6" s="7" t="s">
        <v>2</v>
      </c>
      <c r="L6" s="7"/>
      <c r="M6" s="6">
        <v>37</v>
      </c>
      <c r="N6" s="7" t="s">
        <v>14</v>
      </c>
      <c r="O6" s="7" t="s">
        <v>3</v>
      </c>
      <c r="P6" s="7" t="s">
        <v>55</v>
      </c>
      <c r="Q6" s="6">
        <v>43</v>
      </c>
      <c r="T6" s="7" t="s">
        <v>64</v>
      </c>
      <c r="U6" s="7" t="s">
        <v>65</v>
      </c>
      <c r="V6" s="7"/>
      <c r="W6" s="5" t="s">
        <v>54</v>
      </c>
      <c r="X6" s="3" t="s">
        <v>57</v>
      </c>
    </row>
    <row r="7" spans="1:24" ht="29" x14ac:dyDescent="0.35">
      <c r="A7" s="7" t="s">
        <v>59</v>
      </c>
      <c r="B7" s="7"/>
      <c r="C7" s="7" t="s">
        <v>0</v>
      </c>
      <c r="D7" s="6">
        <v>5</v>
      </c>
      <c r="E7" s="7" t="s">
        <v>30</v>
      </c>
      <c r="F7" s="7"/>
      <c r="G7" s="7" t="s">
        <v>35</v>
      </c>
      <c r="H7" s="7"/>
      <c r="I7" s="7" t="s">
        <v>46</v>
      </c>
      <c r="J7" s="7"/>
      <c r="K7" s="7" t="s">
        <v>38</v>
      </c>
      <c r="L7" s="7"/>
      <c r="M7" s="6">
        <v>10</v>
      </c>
      <c r="N7" s="7" t="s">
        <v>14</v>
      </c>
      <c r="O7" s="7" t="s">
        <v>3</v>
      </c>
      <c r="P7" s="7" t="s">
        <v>55</v>
      </c>
      <c r="Q7" s="6">
        <v>43</v>
      </c>
      <c r="T7" s="7" t="s">
        <v>64</v>
      </c>
      <c r="U7" s="7" t="s">
        <v>65</v>
      </c>
      <c r="V7" s="7"/>
      <c r="W7" s="5" t="s">
        <v>54</v>
      </c>
      <c r="X7" s="3" t="s">
        <v>57</v>
      </c>
    </row>
    <row r="8" spans="1:24" x14ac:dyDescent="0.35">
      <c r="A8" s="7" t="s">
        <v>59</v>
      </c>
      <c r="B8" s="7"/>
      <c r="C8" s="7" t="s">
        <v>1</v>
      </c>
      <c r="D8" s="6">
        <v>6</v>
      </c>
      <c r="E8" s="7" t="s">
        <v>4</v>
      </c>
      <c r="F8" s="7"/>
      <c r="G8" s="7" t="s">
        <v>39</v>
      </c>
      <c r="H8" s="7"/>
      <c r="I8" s="7" t="s">
        <v>33</v>
      </c>
      <c r="J8" s="7"/>
      <c r="K8" s="7" t="s">
        <v>2</v>
      </c>
      <c r="L8" s="7" t="s">
        <v>34</v>
      </c>
      <c r="M8" s="6">
        <v>56</v>
      </c>
      <c r="N8" s="7" t="s">
        <v>14</v>
      </c>
      <c r="O8" s="7" t="s">
        <v>3</v>
      </c>
      <c r="P8" s="7" t="s">
        <v>55</v>
      </c>
      <c r="Q8" s="6">
        <v>43</v>
      </c>
      <c r="T8" s="7" t="s">
        <v>64</v>
      </c>
      <c r="U8" s="7" t="s">
        <v>65</v>
      </c>
      <c r="V8" s="7"/>
      <c r="W8" s="5" t="s">
        <v>54</v>
      </c>
      <c r="X8" s="3" t="s">
        <v>57</v>
      </c>
    </row>
    <row r="9" spans="1:24" x14ac:dyDescent="0.35">
      <c r="A9" s="7" t="s">
        <v>59</v>
      </c>
      <c r="B9" s="7"/>
      <c r="C9" s="7" t="s">
        <v>1</v>
      </c>
      <c r="D9" s="6">
        <v>6</v>
      </c>
      <c r="E9" s="7" t="s">
        <v>4</v>
      </c>
      <c r="F9" s="7"/>
      <c r="G9" s="7" t="s">
        <v>39</v>
      </c>
      <c r="H9" s="7"/>
      <c r="I9" s="7" t="s">
        <v>33</v>
      </c>
      <c r="J9" s="7"/>
      <c r="K9" s="7" t="s">
        <v>2</v>
      </c>
      <c r="L9" s="7" t="s">
        <v>58</v>
      </c>
      <c r="M9" s="6">
        <v>100</v>
      </c>
      <c r="N9" s="7" t="s">
        <v>14</v>
      </c>
      <c r="O9" s="7" t="s">
        <v>3</v>
      </c>
      <c r="P9" s="7" t="s">
        <v>55</v>
      </c>
      <c r="Q9" s="6">
        <v>43</v>
      </c>
      <c r="T9" s="7" t="s">
        <v>64</v>
      </c>
      <c r="U9" s="7" t="s">
        <v>65</v>
      </c>
      <c r="V9" s="7"/>
      <c r="W9" s="5" t="s">
        <v>54</v>
      </c>
      <c r="X9" s="3" t="s">
        <v>57</v>
      </c>
    </row>
    <row r="10" spans="1:24" ht="72.5" x14ac:dyDescent="0.35">
      <c r="A10" s="7" t="s">
        <v>60</v>
      </c>
      <c r="B10" s="7"/>
      <c r="C10" s="7" t="s">
        <v>1</v>
      </c>
      <c r="D10" s="6">
        <v>7</v>
      </c>
      <c r="E10" s="7" t="s">
        <v>4</v>
      </c>
      <c r="G10" s="7" t="s">
        <v>18</v>
      </c>
      <c r="I10" s="7" t="s">
        <v>33</v>
      </c>
      <c r="K10" s="7" t="s">
        <v>2</v>
      </c>
      <c r="L10" s="7" t="s">
        <v>34</v>
      </c>
      <c r="M10" s="6">
        <f>82*(208.19/186.21)</f>
        <v>91.679179421083731</v>
      </c>
      <c r="N10" s="7" t="s">
        <v>14</v>
      </c>
      <c r="O10" s="7" t="s">
        <v>3</v>
      </c>
      <c r="P10" s="7" t="s">
        <v>55</v>
      </c>
      <c r="Q10" s="6">
        <v>43</v>
      </c>
      <c r="T10" s="7" t="s">
        <v>64</v>
      </c>
      <c r="U10" s="7" t="s">
        <v>65</v>
      </c>
      <c r="V10" s="7" t="s">
        <v>61</v>
      </c>
      <c r="W10" s="5" t="s">
        <v>54</v>
      </c>
      <c r="X10" s="3" t="s">
        <v>57</v>
      </c>
    </row>
    <row r="11" spans="1:24" ht="29" x14ac:dyDescent="0.35">
      <c r="A11" s="7" t="s">
        <v>59</v>
      </c>
      <c r="B11" s="7"/>
      <c r="C11" s="7" t="s">
        <v>1</v>
      </c>
      <c r="D11" s="6">
        <v>8</v>
      </c>
      <c r="E11" s="7" t="s">
        <v>30</v>
      </c>
      <c r="F11" s="7"/>
      <c r="G11" s="7" t="s">
        <v>41</v>
      </c>
      <c r="H11" s="7"/>
      <c r="I11" s="7" t="s">
        <v>37</v>
      </c>
      <c r="J11" s="7"/>
      <c r="K11" s="7" t="s">
        <v>38</v>
      </c>
      <c r="L11" s="7"/>
      <c r="M11" s="6">
        <v>22</v>
      </c>
      <c r="N11" s="7" t="s">
        <v>14</v>
      </c>
      <c r="O11" s="7" t="s">
        <v>3</v>
      </c>
      <c r="P11" s="7" t="s">
        <v>55</v>
      </c>
      <c r="Q11" s="6">
        <v>43</v>
      </c>
      <c r="T11" s="7" t="s">
        <v>64</v>
      </c>
      <c r="U11" s="7" t="s">
        <v>65</v>
      </c>
      <c r="V11" s="7"/>
      <c r="W11" s="5" t="s">
        <v>54</v>
      </c>
      <c r="X11" s="3" t="s">
        <v>57</v>
      </c>
    </row>
    <row r="12" spans="1:24" ht="72.5" x14ac:dyDescent="0.35">
      <c r="A12" s="7" t="s">
        <v>59</v>
      </c>
      <c r="B12" s="7" t="s">
        <v>45</v>
      </c>
      <c r="C12" s="7" t="s">
        <v>1</v>
      </c>
      <c r="D12" s="6">
        <v>9</v>
      </c>
      <c r="E12" s="7" t="s">
        <v>4</v>
      </c>
      <c r="F12" s="7"/>
      <c r="G12" s="7" t="s">
        <v>39</v>
      </c>
      <c r="H12" s="7"/>
      <c r="I12" s="7" t="s">
        <v>33</v>
      </c>
      <c r="J12" s="7"/>
      <c r="K12" s="7" t="s">
        <v>2</v>
      </c>
      <c r="L12" s="7" t="s">
        <v>34</v>
      </c>
      <c r="M12" s="6">
        <v>100</v>
      </c>
      <c r="N12" s="7" t="s">
        <v>14</v>
      </c>
      <c r="O12" s="7" t="s">
        <v>36</v>
      </c>
      <c r="P12" s="7" t="s">
        <v>55</v>
      </c>
      <c r="Q12" s="6">
        <v>43</v>
      </c>
      <c r="T12" s="7" t="s">
        <v>64</v>
      </c>
      <c r="U12" s="7" t="s">
        <v>65</v>
      </c>
      <c r="V12" s="7" t="s">
        <v>56</v>
      </c>
      <c r="W12" s="5" t="s">
        <v>54</v>
      </c>
      <c r="X12" s="3" t="s">
        <v>57</v>
      </c>
    </row>
    <row r="13" spans="1:24" ht="29" x14ac:dyDescent="0.35">
      <c r="A13" s="7" t="s">
        <v>59</v>
      </c>
      <c r="B13" s="7"/>
      <c r="C13" s="7" t="s">
        <v>40</v>
      </c>
      <c r="D13" s="6">
        <v>10</v>
      </c>
      <c r="E13" s="7" t="s">
        <v>4</v>
      </c>
      <c r="F13" s="7"/>
      <c r="G13" s="7" t="s">
        <v>19</v>
      </c>
      <c r="H13" s="7"/>
      <c r="I13" s="7" t="s">
        <v>31</v>
      </c>
      <c r="J13" s="7"/>
      <c r="K13" s="7" t="s">
        <v>2</v>
      </c>
      <c r="L13" s="7"/>
      <c r="M13" s="6">
        <v>47</v>
      </c>
      <c r="N13" s="7" t="s">
        <v>14</v>
      </c>
      <c r="O13" s="7" t="s">
        <v>3</v>
      </c>
      <c r="P13" s="7" t="s">
        <v>55</v>
      </c>
      <c r="Q13" s="6">
        <v>43</v>
      </c>
      <c r="T13" s="7" t="s">
        <v>64</v>
      </c>
      <c r="U13" s="7" t="s">
        <v>65</v>
      </c>
      <c r="V13" s="7"/>
      <c r="W13" s="5" t="s">
        <v>54</v>
      </c>
      <c r="X13" s="3" t="s">
        <v>57</v>
      </c>
    </row>
    <row r="14" spans="1:24" ht="29" x14ac:dyDescent="0.35">
      <c r="A14" s="7" t="s">
        <v>59</v>
      </c>
      <c r="B14" s="7"/>
      <c r="C14" s="7" t="s">
        <v>40</v>
      </c>
      <c r="D14" s="6">
        <v>10</v>
      </c>
      <c r="E14" s="7" t="s">
        <v>4</v>
      </c>
      <c r="F14" s="7"/>
      <c r="G14" s="7" t="s">
        <v>19</v>
      </c>
      <c r="H14" s="7"/>
      <c r="I14" s="7" t="s">
        <v>32</v>
      </c>
      <c r="J14" s="7"/>
      <c r="K14" s="7" t="s">
        <v>2</v>
      </c>
      <c r="L14" s="7" t="s">
        <v>34</v>
      </c>
      <c r="M14" s="6">
        <v>100</v>
      </c>
      <c r="N14" s="7" t="s">
        <v>14</v>
      </c>
      <c r="O14" s="7" t="s">
        <v>3</v>
      </c>
      <c r="P14" s="7" t="s">
        <v>55</v>
      </c>
      <c r="Q14" s="6">
        <v>43</v>
      </c>
      <c r="T14" s="7" t="s">
        <v>64</v>
      </c>
      <c r="U14" s="7" t="s">
        <v>65</v>
      </c>
      <c r="V14" s="7"/>
      <c r="W14" s="5" t="s">
        <v>54</v>
      </c>
      <c r="X14" s="3" t="s">
        <v>57</v>
      </c>
    </row>
    <row r="15" spans="1:24" ht="29" x14ac:dyDescent="0.35">
      <c r="A15" s="7" t="s">
        <v>59</v>
      </c>
      <c r="B15" s="7"/>
      <c r="C15" s="7" t="s">
        <v>47</v>
      </c>
      <c r="D15" s="6">
        <v>11</v>
      </c>
      <c r="E15" s="7" t="s">
        <v>4</v>
      </c>
      <c r="F15" s="7"/>
      <c r="G15" s="7" t="s">
        <v>48</v>
      </c>
      <c r="H15" s="7"/>
      <c r="I15" s="7" t="s">
        <v>31</v>
      </c>
      <c r="J15" s="7"/>
      <c r="K15" s="7" t="s">
        <v>2</v>
      </c>
      <c r="L15" s="7"/>
      <c r="M15" s="6">
        <v>35</v>
      </c>
      <c r="N15" s="7" t="s">
        <v>14</v>
      </c>
      <c r="O15" s="7"/>
      <c r="P15" s="7" t="s">
        <v>55</v>
      </c>
      <c r="Q15" s="6">
        <v>43</v>
      </c>
      <c r="T15" s="7" t="s">
        <v>64</v>
      </c>
      <c r="U15" s="7" t="s">
        <v>65</v>
      </c>
      <c r="V15" s="7"/>
      <c r="W15" s="5" t="s">
        <v>54</v>
      </c>
      <c r="X15" s="3" t="s">
        <v>57</v>
      </c>
    </row>
    <row r="16" spans="1:24" ht="29" x14ac:dyDescent="0.35">
      <c r="A16" s="7" t="s">
        <v>59</v>
      </c>
      <c r="B16" s="7"/>
      <c r="C16" s="7" t="s">
        <v>47</v>
      </c>
      <c r="D16" s="6">
        <v>11</v>
      </c>
      <c r="E16" s="7" t="s">
        <v>4</v>
      </c>
      <c r="F16" s="7"/>
      <c r="G16" s="7" t="s">
        <v>48</v>
      </c>
      <c r="H16" s="7"/>
      <c r="I16" s="7" t="s">
        <v>32</v>
      </c>
      <c r="J16" s="7"/>
      <c r="K16" s="7" t="s">
        <v>2</v>
      </c>
      <c r="L16" s="7"/>
      <c r="M16" s="6">
        <v>78</v>
      </c>
      <c r="N16" s="7" t="s">
        <v>14</v>
      </c>
      <c r="O16" s="7"/>
      <c r="P16" s="7" t="s">
        <v>55</v>
      </c>
      <c r="Q16" s="6">
        <v>43</v>
      </c>
      <c r="T16" s="7" t="s">
        <v>64</v>
      </c>
      <c r="U16" s="7" t="s">
        <v>65</v>
      </c>
      <c r="V16" s="7"/>
      <c r="W16" s="5" t="s">
        <v>54</v>
      </c>
      <c r="X16" s="3" t="s">
        <v>57</v>
      </c>
    </row>
    <row r="17" spans="1:24" ht="72.5" x14ac:dyDescent="0.35">
      <c r="A17" s="7" t="s">
        <v>60</v>
      </c>
      <c r="B17" s="7"/>
      <c r="C17" s="7" t="s">
        <v>40</v>
      </c>
      <c r="D17" s="6">
        <v>12</v>
      </c>
      <c r="E17" s="7" t="s">
        <v>4</v>
      </c>
      <c r="F17" s="7"/>
      <c r="G17" s="7" t="s">
        <v>19</v>
      </c>
      <c r="H17" s="7"/>
      <c r="I17" s="7" t="s">
        <v>31</v>
      </c>
      <c r="J17" s="7"/>
      <c r="K17" s="7" t="s">
        <v>2</v>
      </c>
      <c r="L17" s="7"/>
      <c r="M17" s="6">
        <f>18.05*(208.19/186.21)</f>
        <v>20.180599860372698</v>
      </c>
      <c r="N17" s="7" t="s">
        <v>14</v>
      </c>
      <c r="O17" s="7" t="s">
        <v>3</v>
      </c>
      <c r="P17" s="7" t="s">
        <v>55</v>
      </c>
      <c r="Q17" s="6">
        <v>43</v>
      </c>
      <c r="T17" s="7" t="s">
        <v>64</v>
      </c>
      <c r="U17" s="7" t="s">
        <v>65</v>
      </c>
      <c r="V17" s="7" t="s">
        <v>62</v>
      </c>
      <c r="W17" s="5" t="s">
        <v>54</v>
      </c>
      <c r="X17" s="3" t="s">
        <v>57</v>
      </c>
    </row>
    <row r="18" spans="1:24" ht="72.5" x14ac:dyDescent="0.35">
      <c r="A18" s="7" t="s">
        <v>60</v>
      </c>
      <c r="B18" s="7"/>
      <c r="C18" s="7" t="s">
        <v>40</v>
      </c>
      <c r="D18" s="6">
        <v>12</v>
      </c>
      <c r="E18" s="7" t="s">
        <v>4</v>
      </c>
      <c r="F18" s="7"/>
      <c r="G18" s="7" t="s">
        <v>19</v>
      </c>
      <c r="H18" s="7"/>
      <c r="I18" s="7" t="s">
        <v>32</v>
      </c>
      <c r="J18" s="7"/>
      <c r="K18" s="7" t="s">
        <v>2</v>
      </c>
      <c r="L18" s="7"/>
      <c r="M18" s="6">
        <f>26.62*(208.19/186.21)</f>
        <v>29.762192148649376</v>
      </c>
      <c r="N18" s="7" t="s">
        <v>14</v>
      </c>
      <c r="O18" s="7" t="s">
        <v>3</v>
      </c>
      <c r="P18" s="7" t="s">
        <v>55</v>
      </c>
      <c r="Q18" s="6">
        <v>43</v>
      </c>
      <c r="T18" s="7" t="s">
        <v>64</v>
      </c>
      <c r="U18" s="7" t="s">
        <v>65</v>
      </c>
      <c r="V18" s="7" t="s">
        <v>63</v>
      </c>
      <c r="W18" s="5" t="s">
        <v>54</v>
      </c>
      <c r="X18" s="3" t="s">
        <v>57</v>
      </c>
    </row>
    <row r="19" spans="1:24" ht="72.5" x14ac:dyDescent="0.35">
      <c r="A19" s="7" t="s">
        <v>59</v>
      </c>
      <c r="B19" s="7" t="s">
        <v>45</v>
      </c>
      <c r="C19" s="7" t="s">
        <v>40</v>
      </c>
      <c r="D19" s="6">
        <v>13</v>
      </c>
      <c r="E19" s="7" t="s">
        <v>4</v>
      </c>
      <c r="F19" s="7"/>
      <c r="G19" s="7" t="s">
        <v>19</v>
      </c>
      <c r="H19" s="7"/>
      <c r="I19" s="7" t="s">
        <v>49</v>
      </c>
      <c r="J19" s="7"/>
      <c r="K19" s="7" t="s">
        <v>2</v>
      </c>
      <c r="L19" s="7"/>
      <c r="M19" s="6">
        <v>43</v>
      </c>
      <c r="N19" s="7" t="s">
        <v>14</v>
      </c>
      <c r="O19" s="7" t="s">
        <v>36</v>
      </c>
      <c r="P19" s="7" t="s">
        <v>55</v>
      </c>
      <c r="Q19" s="6">
        <v>43</v>
      </c>
      <c r="T19" s="7" t="s">
        <v>64</v>
      </c>
      <c r="U19" s="7" t="s">
        <v>65</v>
      </c>
      <c r="V19" s="7" t="s">
        <v>56</v>
      </c>
      <c r="W19" s="5" t="s">
        <v>54</v>
      </c>
      <c r="X19" s="3" t="s">
        <v>57</v>
      </c>
    </row>
    <row r="20" spans="1:24" ht="72.5" x14ac:dyDescent="0.35">
      <c r="A20" s="7" t="s">
        <v>59</v>
      </c>
      <c r="B20" s="7" t="s">
        <v>45</v>
      </c>
      <c r="C20" s="7" t="s">
        <v>40</v>
      </c>
      <c r="D20" s="6">
        <v>13</v>
      </c>
      <c r="E20" s="7" t="s">
        <v>4</v>
      </c>
      <c r="F20" s="7"/>
      <c r="G20" s="7" t="s">
        <v>19</v>
      </c>
      <c r="H20" s="7"/>
      <c r="I20" s="7" t="s">
        <v>32</v>
      </c>
      <c r="J20" s="7"/>
      <c r="K20" s="7" t="s">
        <v>2</v>
      </c>
      <c r="L20" s="7" t="s">
        <v>34</v>
      </c>
      <c r="M20" s="6">
        <v>100</v>
      </c>
      <c r="N20" s="7" t="s">
        <v>14</v>
      </c>
      <c r="O20" s="7" t="s">
        <v>36</v>
      </c>
      <c r="P20" s="7" t="s">
        <v>55</v>
      </c>
      <c r="Q20" s="6">
        <v>43</v>
      </c>
      <c r="T20" s="7" t="s">
        <v>64</v>
      </c>
      <c r="U20" s="7" t="s">
        <v>65</v>
      </c>
      <c r="V20" s="7" t="s">
        <v>56</v>
      </c>
      <c r="W20" s="5" t="s">
        <v>54</v>
      </c>
      <c r="X20" s="3" t="s">
        <v>57</v>
      </c>
    </row>
    <row r="21" spans="1:24" ht="29" x14ac:dyDescent="0.35">
      <c r="A21" s="7" t="s">
        <v>59</v>
      </c>
      <c r="B21" s="7" t="s">
        <v>50</v>
      </c>
      <c r="C21" s="7" t="s">
        <v>40</v>
      </c>
      <c r="D21" s="6">
        <v>14</v>
      </c>
      <c r="E21" s="7" t="s">
        <v>4</v>
      </c>
      <c r="F21" s="7"/>
      <c r="G21" s="7" t="s">
        <v>19</v>
      </c>
      <c r="H21" s="7"/>
      <c r="I21" s="7" t="s">
        <v>31</v>
      </c>
      <c r="J21" s="7"/>
      <c r="K21" s="7" t="s">
        <v>2</v>
      </c>
      <c r="L21" s="7"/>
      <c r="M21" s="6">
        <v>9.1</v>
      </c>
      <c r="N21" s="7" t="s">
        <v>14</v>
      </c>
      <c r="O21" s="7" t="s">
        <v>3</v>
      </c>
      <c r="P21" s="7" t="s">
        <v>55</v>
      </c>
      <c r="Q21" s="6">
        <v>43</v>
      </c>
      <c r="T21" s="7" t="s">
        <v>64</v>
      </c>
      <c r="U21" s="7" t="s">
        <v>65</v>
      </c>
      <c r="V21" s="7"/>
      <c r="W21" s="5" t="s">
        <v>54</v>
      </c>
      <c r="X21" s="3" t="s">
        <v>57</v>
      </c>
    </row>
    <row r="22" spans="1:24" ht="29" x14ac:dyDescent="0.35">
      <c r="A22" s="7" t="s">
        <v>59</v>
      </c>
      <c r="B22" s="7" t="s">
        <v>53</v>
      </c>
      <c r="C22" s="7" t="s">
        <v>40</v>
      </c>
      <c r="D22" s="6">
        <v>15</v>
      </c>
      <c r="E22" s="7" t="s">
        <v>4</v>
      </c>
      <c r="F22" s="7"/>
      <c r="G22" s="7" t="s">
        <v>19</v>
      </c>
      <c r="H22" s="7"/>
      <c r="I22" s="7" t="s">
        <v>31</v>
      </c>
      <c r="J22" s="7"/>
      <c r="K22" s="7" t="s">
        <v>2</v>
      </c>
      <c r="L22" s="7"/>
      <c r="M22" s="6">
        <v>14.9</v>
      </c>
      <c r="N22" s="7" t="s">
        <v>14</v>
      </c>
      <c r="O22" s="7" t="s">
        <v>36</v>
      </c>
      <c r="P22" s="7" t="s">
        <v>55</v>
      </c>
      <c r="Q22" s="6">
        <v>43</v>
      </c>
      <c r="T22" s="7" t="s">
        <v>64</v>
      </c>
      <c r="U22" s="7" t="s">
        <v>65</v>
      </c>
      <c r="V22" s="7"/>
      <c r="W22" s="5" t="s">
        <v>54</v>
      </c>
      <c r="X22" s="3" t="s">
        <v>57</v>
      </c>
    </row>
    <row r="23" spans="1:24" ht="29" x14ac:dyDescent="0.35">
      <c r="A23" s="7" t="s">
        <v>59</v>
      </c>
      <c r="B23" s="7" t="s">
        <v>50</v>
      </c>
      <c r="C23" s="7" t="s">
        <v>66</v>
      </c>
      <c r="D23" s="6">
        <v>16</v>
      </c>
      <c r="E23" s="7" t="s">
        <v>4</v>
      </c>
      <c r="F23" s="7"/>
      <c r="G23" s="7" t="s">
        <v>51</v>
      </c>
      <c r="H23" s="7"/>
      <c r="I23" s="7" t="s">
        <v>46</v>
      </c>
      <c r="J23" s="7" t="s">
        <v>52</v>
      </c>
      <c r="K23" s="7" t="s">
        <v>2</v>
      </c>
      <c r="L23" s="7"/>
      <c r="M23" s="6">
        <v>5.09</v>
      </c>
      <c r="N23" s="7" t="s">
        <v>14</v>
      </c>
      <c r="O23" s="7" t="s">
        <v>3</v>
      </c>
      <c r="P23" s="7" t="s">
        <v>55</v>
      </c>
      <c r="Q23" s="6">
        <v>43</v>
      </c>
      <c r="T23" s="7" t="s">
        <v>64</v>
      </c>
      <c r="U23" s="7" t="s">
        <v>65</v>
      </c>
      <c r="V23" s="7"/>
      <c r="W23" s="5" t="s">
        <v>54</v>
      </c>
      <c r="X23" s="3" t="s">
        <v>57</v>
      </c>
    </row>
    <row r="24" spans="1:24" ht="29" x14ac:dyDescent="0.35">
      <c r="A24" s="7" t="s">
        <v>59</v>
      </c>
      <c r="B24" s="7" t="s">
        <v>53</v>
      </c>
      <c r="C24" s="7" t="s">
        <v>66</v>
      </c>
      <c r="D24" s="6">
        <v>17</v>
      </c>
      <c r="E24" s="7" t="s">
        <v>4</v>
      </c>
      <c r="F24" s="7"/>
      <c r="G24" s="7" t="s">
        <v>51</v>
      </c>
      <c r="H24" s="7"/>
      <c r="I24" s="7" t="s">
        <v>46</v>
      </c>
      <c r="J24" s="7" t="s">
        <v>52</v>
      </c>
      <c r="K24" s="7" t="s">
        <v>2</v>
      </c>
      <c r="L24" s="7"/>
      <c r="M24" s="6">
        <v>5.61</v>
      </c>
      <c r="N24" s="7" t="s">
        <v>14</v>
      </c>
      <c r="O24" s="7" t="s">
        <v>36</v>
      </c>
      <c r="P24" s="7" t="s">
        <v>55</v>
      </c>
      <c r="Q24" s="6">
        <v>43</v>
      </c>
      <c r="T24" s="7" t="s">
        <v>64</v>
      </c>
      <c r="U24" s="7" t="s">
        <v>65</v>
      </c>
      <c r="V24" s="7"/>
      <c r="W24" s="5" t="s">
        <v>54</v>
      </c>
      <c r="X24" s="3" t="s">
        <v>57</v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aquatic_endpoints</vt:lpstr>
    </vt:vector>
  </TitlesOfParts>
  <Company>Agroscope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Mathis Marcel</dc:creator>
  <cp:lastModifiedBy>Ranke Johannes</cp:lastModifiedBy>
  <dcterms:created xsi:type="dcterms:W3CDTF">2024-06-25T14:09:16Z</dcterms:created>
  <dcterms:modified xsi:type="dcterms:W3CDTF">2026-07-09T15:48:21Z</dcterms:modified>
</cp:coreProperties>
</file>