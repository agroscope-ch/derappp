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07_soil_degradation\"/>
    </mc:Choice>
  </mc:AlternateContent>
  <xr:revisionPtr revIDLastSave="0" documentId="13_ncr:1_{921D5CB7-594A-445D-96E6-D548AC5E893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oil degradation" sheetId="2" r:id="rId1"/>
  </sheets>
  <definedNames>
    <definedName name="_xlnm._FilterDatabase" localSheetId="0" hidden="1">'Soil degradation'!$A$1:$Q$61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" i="2" l="1"/>
  <c r="H29" i="2"/>
</calcChain>
</file>

<file path=xl/sharedStrings.xml><?xml version="1.0" encoding="utf-8"?>
<sst xmlns="http://schemas.openxmlformats.org/spreadsheetml/2006/main" count="514" uniqueCount="174">
  <si>
    <t>Amisulbrom</t>
  </si>
  <si>
    <t>SFO</t>
  </si>
  <si>
    <t>Azoxystrobin</t>
  </si>
  <si>
    <t>Benalaxyl</t>
  </si>
  <si>
    <t>Bixafen</t>
  </si>
  <si>
    <t xml:space="preserve">HS </t>
  </si>
  <si>
    <t>Boscalid</t>
  </si>
  <si>
    <t>Bupirimate</t>
  </si>
  <si>
    <t>FOMC</t>
  </si>
  <si>
    <t>Buprofezin</t>
  </si>
  <si>
    <t>Carbendazim</t>
  </si>
  <si>
    <t>Chloridazon</t>
  </si>
  <si>
    <t>Chlorotoluron</t>
  </si>
  <si>
    <t>Chlorpyrifos</t>
  </si>
  <si>
    <t>Clomazone</t>
  </si>
  <si>
    <t>Cyproconazole</t>
  </si>
  <si>
    <t>Cyprodinil</t>
  </si>
  <si>
    <t>Difenoconazole</t>
  </si>
  <si>
    <t>Diflufenican</t>
  </si>
  <si>
    <t>Diuron</t>
  </si>
  <si>
    <t>Epoxiconazole</t>
  </si>
  <si>
    <t>Ethofumesate</t>
  </si>
  <si>
    <t>Fenpropidin</t>
  </si>
  <si>
    <t>Fenpropimorph</t>
  </si>
  <si>
    <t>Fenpyroximate</t>
  </si>
  <si>
    <t>Fludioxonil</t>
  </si>
  <si>
    <t>Flufenacet</t>
  </si>
  <si>
    <t>Fluopicolide</t>
  </si>
  <si>
    <t>Fluopyram</t>
  </si>
  <si>
    <t>DFOP</t>
  </si>
  <si>
    <t>Fluoxastrobin</t>
  </si>
  <si>
    <t>Flurochloridone</t>
  </si>
  <si>
    <t>Flusilazole</t>
  </si>
  <si>
    <t>Fluxapyroxad</t>
  </si>
  <si>
    <t>Linuron</t>
  </si>
  <si>
    <t>Mandipropamid</t>
  </si>
  <si>
    <t xml:space="preserve">SFO </t>
  </si>
  <si>
    <t>Mepanipyrim</t>
  </si>
  <si>
    <t>Metamitron</t>
  </si>
  <si>
    <t>Metconazole</t>
  </si>
  <si>
    <t>Napropamide</t>
  </si>
  <si>
    <t>Oryzalin</t>
  </si>
  <si>
    <t>Penconazole</t>
  </si>
  <si>
    <t>Pencycuron</t>
  </si>
  <si>
    <t>Pendimethalin</t>
  </si>
  <si>
    <t>Pethoxamid</t>
  </si>
  <si>
    <t>Picoxystrobin</t>
  </si>
  <si>
    <t>Prochloraz</t>
  </si>
  <si>
    <t>Propiconazole</t>
  </si>
  <si>
    <t>Proquinazid</t>
  </si>
  <si>
    <t>Prosulfocarb</t>
  </si>
  <si>
    <t>Pyraclostrobin</t>
  </si>
  <si>
    <t>Pyrimethanil</t>
  </si>
  <si>
    <t>S-Metolachlor</t>
  </si>
  <si>
    <t>Tebuconazole</t>
  </si>
  <si>
    <t>Tebufenozide</t>
  </si>
  <si>
    <t>Tebufenpyrad</t>
  </si>
  <si>
    <t>Terbuthylazine</t>
  </si>
  <si>
    <t>Thiacloprid</t>
  </si>
  <si>
    <t>Trifloxystrobin</t>
  </si>
  <si>
    <t>substance</t>
  </si>
  <si>
    <t>alpha</t>
  </si>
  <si>
    <t>beta</t>
  </si>
  <si>
    <t>k1</t>
  </si>
  <si>
    <t>k2</t>
  </si>
  <si>
    <t>tb</t>
  </si>
  <si>
    <t>NA</t>
  </si>
  <si>
    <t>sk</t>
  </si>
  <si>
    <t>page</t>
  </si>
  <si>
    <t>selected</t>
  </si>
  <si>
    <t>reason</t>
  </si>
  <si>
    <t>note</t>
  </si>
  <si>
    <t>recorded</t>
  </si>
  <si>
    <t>checked</t>
  </si>
  <si>
    <t>g</t>
  </si>
  <si>
    <t>j.efsa.2017.4887_LoEP</t>
  </si>
  <si>
    <t>TRUE</t>
  </si>
  <si>
    <t>EFSA LoEP</t>
  </si>
  <si>
    <t>roan</t>
  </si>
  <si>
    <t>luel</t>
  </si>
  <si>
    <t>roan/luel</t>
  </si>
  <si>
    <t>j.efsa.2013.3052</t>
  </si>
  <si>
    <t>j.efsa.2016.4515</t>
  </si>
  <si>
    <t>j.efsa.2008.144r</t>
  </si>
  <si>
    <t>j.efsa.2010.1786</t>
  </si>
  <si>
    <t>j.efsa.2007.111r</t>
  </si>
  <si>
    <t>j.efsa.2012.2522</t>
  </si>
  <si>
    <t>j.efsa.2010.1869</t>
  </si>
  <si>
    <t>j.efsa.2011.2323</t>
  </si>
  <si>
    <t>j.efsa.2017.4989</t>
  </si>
  <si>
    <t>j.efsa.2012.2917</t>
  </si>
  <si>
    <t>j.efsa.2014.3237</t>
  </si>
  <si>
    <t>j.efsa.2013.3493</t>
  </si>
  <si>
    <t>j.efsa.2017.4981</t>
  </si>
  <si>
    <t>j.efsa.2009.1350</t>
  </si>
  <si>
    <t>j.efsa.2010.1542</t>
  </si>
  <si>
    <t>j.efsa.2010.1565</t>
  </si>
  <si>
    <t>j.efsa.2010.1598</t>
  </si>
  <si>
    <t>j.efsa.2010.1707</t>
  </si>
  <si>
    <t>j.efsa.2010.1897</t>
  </si>
  <si>
    <t>j.efsa.2010.1871</t>
  </si>
  <si>
    <t>j.efsa.2011.1967</t>
  </si>
  <si>
    <t>j.efsa.2012.2935</t>
  </si>
  <si>
    <t>j.efsa.2014.3485</t>
  </si>
  <si>
    <t>j.efsa.2016.4374</t>
  </si>
  <si>
    <t>j.efsa.2016.4420</t>
  </si>
  <si>
    <t>j.efsa.2016.4518</t>
  </si>
  <si>
    <t>j.efsa.2017.4852</t>
  </si>
  <si>
    <t>j.efsa.2020.5985</t>
  </si>
  <si>
    <t>j.efsa.2023.7852</t>
  </si>
  <si>
    <t>j.efsa.2024.8997</t>
  </si>
  <si>
    <t>j.efsa.2025.9209</t>
  </si>
  <si>
    <t>j.efsa.2005.25r</t>
  </si>
  <si>
    <t>j.efsa.2006.61r</t>
  </si>
  <si>
    <t>j.efsa.2006.64r</t>
  </si>
  <si>
    <t>j.efsa.2007.108r</t>
  </si>
  <si>
    <t>j.efsa.2007.109r</t>
  </si>
  <si>
    <t>j.efsa.2007.110r</t>
  </si>
  <si>
    <t>j.efsa.2008.138r</t>
  </si>
  <si>
    <t>j.efsa.2008.175r</t>
  </si>
  <si>
    <t>j.efsa.2008.185r</t>
  </si>
  <si>
    <t>j.efsa.2009.299r</t>
  </si>
  <si>
    <t>k1 and k2 calculated from  1.DT50 = 20.327 days; 2.DT50 = 495.105 days</t>
  </si>
  <si>
    <t>DT50</t>
  </si>
  <si>
    <t>kinetics</t>
  </si>
  <si>
    <t>FALSE</t>
  </si>
  <si>
    <t>Metalaxyl-M</t>
  </si>
  <si>
    <t>roan digitalised this endpoint for Metalaxyl but Reference points to Metalaxyl-M conclusion; substance name changed by luel</t>
  </si>
  <si>
    <t>j.efsa.2023.8373_LoEP</t>
  </si>
  <si>
    <t>j.efsa.2019.5595</t>
  </si>
  <si>
    <t>j.efsa.2010.1624</t>
  </si>
  <si>
    <t>j.efsa.2010.1828</t>
  </si>
  <si>
    <t>j.efsa.2008.124r</t>
  </si>
  <si>
    <t>j.efsa.2009.192r</t>
  </si>
  <si>
    <t>j.efsa.2005.102r</t>
  </si>
  <si>
    <t>j.efsa.2011.1969</t>
  </si>
  <si>
    <t>Chlorpyrifos_RAR_60_LoEP_2017-07-03</t>
  </si>
  <si>
    <t>replaced 314.5 DT50 from 2002 dRAR with 227.4 from 2018 RAR</t>
  </si>
  <si>
    <t>Chlorotoluron_dRAR_23-LoEP_2021-07-29</t>
  </si>
  <si>
    <t>j.efsa.2025.9206</t>
  </si>
  <si>
    <t>j.efsa.2024.9047</t>
  </si>
  <si>
    <t>Flusilazole_RR_2007</t>
  </si>
  <si>
    <t>no DT50 value in newer conclusion j.efsa.2013.3351 present</t>
  </si>
  <si>
    <t>no DT50 value in newer conclusion j.efsa.2025.9511 present</t>
  </si>
  <si>
    <t>j.efsa.2024.8998</t>
  </si>
  <si>
    <t>Maximum non-normalised field DT50</t>
  </si>
  <si>
    <t>Boscalid_RAR_2018_LoEP</t>
  </si>
  <si>
    <t>type</t>
  </si>
  <si>
    <t>EFSA PECsoil</t>
  </si>
  <si>
    <t>dRAR PECsoil</t>
  </si>
  <si>
    <t>EFSA dRAR</t>
  </si>
  <si>
    <t>outdated via 2025 EFSA Conclusion</t>
  </si>
  <si>
    <t>j.efsa.2026.9758</t>
  </si>
  <si>
    <t>luel, rajo</t>
  </si>
  <si>
    <t>"standing crop", not bare soil</t>
  </si>
  <si>
    <t>EU Review report</t>
  </si>
  <si>
    <t>outdated via 2024 EFSA Conclusion</t>
  </si>
  <si>
    <t>j.efsa.2025.9257</t>
  </si>
  <si>
    <t>rajo</t>
  </si>
  <si>
    <t xml:space="preserve">outdated via j.efsa.2024.8998 </t>
  </si>
  <si>
    <t>Not worst-case</t>
  </si>
  <si>
    <t>Used for Northern Europe by EFSA</t>
  </si>
  <si>
    <t>Used for Southern Europe by EFSA</t>
  </si>
  <si>
    <t>DT50 50.6 recorded for PEC soil calculation is not a half life substitute, so we calculated one from the FOMC DT90 divided by 3.32</t>
  </si>
  <si>
    <t>Substitute half-life calculated from ln(2)/k2</t>
  </si>
  <si>
    <t>Substitute half-life calculated from DT90 396 [d]/3.32</t>
  </si>
  <si>
    <t>Substitute half-life calculated from DT90 515 on page 34 divided by 3.32</t>
  </si>
  <si>
    <t>370 d DT50 on page 49 is not a substitute half-life but the time for reaching 50% the first time for the FOMC fit to the Wilson, UK field study. We calculated a substitute half-life from the FOMC parameters as DT90/3.32</t>
  </si>
  <si>
    <t>roan, luel</t>
  </si>
  <si>
    <t>roan, luel, rajo</t>
  </si>
  <si>
    <t>DT50 37 recorded on page 39 for PEC soil calculation is not a substitute half life, so we give a substitute half-life from the worst-case field DT90 (FOMC) divided by 3.32 (p. 30)</t>
  </si>
  <si>
    <t>DT50 1235 recorded on page 42 for PEC soil calculation is not a substitute half-life, so we backcalculated one from ln(2)/k2</t>
  </si>
  <si>
    <t>Substitute half-life (ln(2)/k2)</t>
  </si>
  <si>
    <t>Substitute half-life (backcalculated from FOMC DT90 7544.7 days/3.32)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</si>
</sst>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 applyFill="1"/>
    <xf numFmtId="0" fontId="3" fillId="0" borderId="0" xfId="0" applyFont="1" applyFill="1"/>
    <xf numFmtId="0" fontId="1" fillId="0" borderId="0" xfId="0" applyFont="1" applyFill="1"/>
    <xf numFmtId="0" fontId="4" fillId="0" borderId="0" xfId="0" applyFont="1" applyFill="1"/>
    <xf numFmtId="0" fontId="4" fillId="0" borderId="0" xfId="0" applyFont="1"/>
    <xf numFmtId="164" fontId="0" fillId="0" borderId="0" xfId="0" applyNumberFormat="1" applyFill="1"/>
    <xf numFmtId="0" fontId="0" fillId="0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C253-0668-4FE2-BC14-84FC263B038A}">
  <dimension ref="A1:R61"/>
  <sheetViews>
    <sheetView tabSelected="1" zoomScale="110" zoomScaleNormal="110" workbookViewId="0">
      <pane ySplit="1" topLeftCell="A2" activePane="bottomLeft" state="frozen"/>
      <selection pane="bottomLeft" activeCell="O57" sqref="O57"/>
    </sheetView>
  </sheetViews>
  <sheetFormatPr baseColWidth="10" defaultRowHeight="13.5" customHeight="1" x14ac:dyDescent="0.25"/>
  <cols>
    <col min="1" max="1" width="19.5703125" customWidth="1"/>
    <col min="2" max="2" width="14.85546875" style="3" customWidth="1"/>
    <col min="3" max="3" width="8.42578125" customWidth="1"/>
    <col min="4" max="4" width="9.85546875" customWidth="1"/>
    <col min="5" max="6" width="11.140625" style="3" customWidth="1"/>
    <col min="7" max="7" width="15.42578125" style="3" customWidth="1"/>
    <col min="8" max="8" width="16.28515625" style="3" customWidth="1"/>
    <col min="9" max="9" width="9.28515625" style="3" customWidth="1"/>
    <col min="10" max="10" width="5.85546875" style="3" customWidth="1"/>
    <col min="11" max="11" width="15" customWidth="1"/>
    <col min="12" max="12" width="8.140625" customWidth="1"/>
    <col min="13" max="13" width="10.140625" customWidth="1"/>
    <col min="14" max="14" width="15.5703125" customWidth="1"/>
    <col min="15" max="15" width="35.85546875" customWidth="1"/>
    <col min="16" max="16" width="9.5703125" customWidth="1"/>
  </cols>
  <sheetData>
    <row r="1" spans="1:17" s="2" customFormat="1" ht="15" x14ac:dyDescent="0.25">
      <c r="A1" s="1" t="s">
        <v>60</v>
      </c>
      <c r="B1" s="1" t="s">
        <v>147</v>
      </c>
      <c r="C1" s="1" t="s">
        <v>123</v>
      </c>
      <c r="D1" s="1" t="s">
        <v>124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74</v>
      </c>
      <c r="J1" s="1" t="s">
        <v>65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</row>
    <row r="2" spans="1:17" s="4" customFormat="1" ht="13.5" customHeight="1" x14ac:dyDescent="0.25">
      <c r="A2" s="4" t="s">
        <v>0</v>
      </c>
      <c r="B2" s="4" t="s">
        <v>148</v>
      </c>
      <c r="C2" s="4">
        <v>12.6</v>
      </c>
      <c r="D2" s="4" t="s">
        <v>1</v>
      </c>
      <c r="K2" s="4" t="s">
        <v>91</v>
      </c>
      <c r="L2" s="4">
        <v>42</v>
      </c>
      <c r="M2" s="4" t="s">
        <v>76</v>
      </c>
      <c r="N2" s="4" t="s">
        <v>77</v>
      </c>
      <c r="P2" s="4" t="s">
        <v>78</v>
      </c>
      <c r="Q2" s="4" t="s">
        <v>153</v>
      </c>
    </row>
    <row r="3" spans="1:17" s="4" customFormat="1" ht="13.5" customHeight="1" x14ac:dyDescent="0.25">
      <c r="A3" s="4" t="s">
        <v>2</v>
      </c>
      <c r="B3" s="4" t="s">
        <v>148</v>
      </c>
      <c r="C3" s="4">
        <v>262</v>
      </c>
      <c r="D3" s="4" t="s">
        <v>1</v>
      </c>
      <c r="K3" s="4" t="s">
        <v>95</v>
      </c>
      <c r="L3" s="4">
        <v>40</v>
      </c>
      <c r="M3" s="4" t="s">
        <v>76</v>
      </c>
      <c r="N3" s="3" t="s">
        <v>77</v>
      </c>
      <c r="O3" s="10"/>
      <c r="P3" s="4" t="s">
        <v>78</v>
      </c>
      <c r="Q3" s="4" t="s">
        <v>153</v>
      </c>
    </row>
    <row r="4" spans="1:17" s="4" customFormat="1" ht="13.5" customHeight="1" x14ac:dyDescent="0.25">
      <c r="A4" s="4" t="s">
        <v>3</v>
      </c>
      <c r="B4" s="4" t="s">
        <v>148</v>
      </c>
      <c r="C4" s="4">
        <v>127.6</v>
      </c>
      <c r="D4" s="4" t="s">
        <v>1</v>
      </c>
      <c r="K4" s="4" t="s">
        <v>108</v>
      </c>
      <c r="L4" s="4">
        <v>43</v>
      </c>
      <c r="M4" s="4" t="s">
        <v>76</v>
      </c>
      <c r="N4" s="3" t="s">
        <v>77</v>
      </c>
      <c r="P4" s="4" t="s">
        <v>78</v>
      </c>
      <c r="Q4" s="4" t="s">
        <v>153</v>
      </c>
    </row>
    <row r="5" spans="1:17" s="4" customFormat="1" ht="13.5" customHeight="1" x14ac:dyDescent="0.25">
      <c r="A5" s="4" t="s">
        <v>4</v>
      </c>
      <c r="B5" s="4" t="s">
        <v>148</v>
      </c>
      <c r="C5" s="4">
        <v>3014</v>
      </c>
      <c r="D5" s="4" t="s">
        <v>5</v>
      </c>
      <c r="G5" s="4">
        <v>8.0999999999999996E-3</v>
      </c>
      <c r="H5" s="4">
        <v>2.3000000000000001E-4</v>
      </c>
      <c r="J5" s="4">
        <v>53</v>
      </c>
      <c r="K5" s="4" t="s">
        <v>90</v>
      </c>
      <c r="L5" s="4">
        <v>42</v>
      </c>
      <c r="M5" s="4" t="s">
        <v>76</v>
      </c>
      <c r="N5" s="4" t="s">
        <v>77</v>
      </c>
      <c r="O5" s="4" t="s">
        <v>171</v>
      </c>
      <c r="P5" s="4" t="s">
        <v>80</v>
      </c>
      <c r="Q5" s="4" t="s">
        <v>153</v>
      </c>
    </row>
    <row r="6" spans="1:17" s="4" customFormat="1" ht="13.5" customHeight="1" x14ac:dyDescent="0.25">
      <c r="A6" s="4" t="s">
        <v>6</v>
      </c>
      <c r="B6" s="4" t="s">
        <v>148</v>
      </c>
      <c r="C6" s="4">
        <v>227.4</v>
      </c>
      <c r="D6" s="4" t="s">
        <v>1</v>
      </c>
      <c r="K6" s="4" t="s">
        <v>146</v>
      </c>
      <c r="L6" s="4">
        <v>59</v>
      </c>
      <c r="M6" s="4" t="s">
        <v>76</v>
      </c>
      <c r="N6" s="4" t="s">
        <v>77</v>
      </c>
      <c r="O6" s="4" t="s">
        <v>137</v>
      </c>
      <c r="P6" s="4" t="s">
        <v>79</v>
      </c>
      <c r="Q6" s="4" t="s">
        <v>158</v>
      </c>
    </row>
    <row r="7" spans="1:17" s="4" customFormat="1" ht="13.5" customHeight="1" x14ac:dyDescent="0.25">
      <c r="A7" s="4" t="s">
        <v>7</v>
      </c>
      <c r="B7" s="4" t="s">
        <v>148</v>
      </c>
      <c r="C7" s="4">
        <v>119.3</v>
      </c>
      <c r="D7" s="4" t="s">
        <v>8</v>
      </c>
      <c r="E7" s="4">
        <v>1.1222700000000001</v>
      </c>
      <c r="F7" s="4">
        <v>58.398800000000001</v>
      </c>
      <c r="K7" s="4" t="s">
        <v>84</v>
      </c>
      <c r="L7" s="5">
        <v>39</v>
      </c>
      <c r="M7" s="5" t="s">
        <v>76</v>
      </c>
      <c r="N7" s="3" t="s">
        <v>77</v>
      </c>
      <c r="O7" s="4" t="s">
        <v>165</v>
      </c>
      <c r="P7" s="4" t="s">
        <v>78</v>
      </c>
      <c r="Q7" s="4" t="s">
        <v>153</v>
      </c>
    </row>
    <row r="8" spans="1:17" s="4" customFormat="1" ht="13.5" customHeight="1" x14ac:dyDescent="0.25">
      <c r="A8" s="4" t="s">
        <v>9</v>
      </c>
      <c r="B8" s="4" t="s">
        <v>148</v>
      </c>
      <c r="C8" s="4">
        <v>166.2</v>
      </c>
      <c r="D8" s="4" t="s">
        <v>1</v>
      </c>
      <c r="K8" s="4" t="s">
        <v>130</v>
      </c>
      <c r="L8" s="4">
        <v>54</v>
      </c>
      <c r="M8" s="4" t="s">
        <v>76</v>
      </c>
      <c r="N8" s="3" t="s">
        <v>77</v>
      </c>
      <c r="P8" s="4" t="s">
        <v>78</v>
      </c>
      <c r="Q8" s="4" t="s">
        <v>79</v>
      </c>
    </row>
    <row r="9" spans="1:17" s="4" customFormat="1" ht="13.5" customHeight="1" x14ac:dyDescent="0.25">
      <c r="A9" s="4" t="s">
        <v>10</v>
      </c>
      <c r="B9" s="4" t="s">
        <v>148</v>
      </c>
      <c r="C9" s="4">
        <v>78</v>
      </c>
      <c r="D9" s="4" t="s">
        <v>1</v>
      </c>
      <c r="K9" s="4" t="s">
        <v>97</v>
      </c>
      <c r="L9" s="4">
        <v>32</v>
      </c>
      <c r="M9" s="4" t="s">
        <v>76</v>
      </c>
      <c r="N9" s="3" t="s">
        <v>77</v>
      </c>
      <c r="P9" s="4" t="s">
        <v>78</v>
      </c>
      <c r="Q9" s="4" t="s">
        <v>79</v>
      </c>
    </row>
    <row r="10" spans="1:17" s="4" customFormat="1" ht="13.5" customHeight="1" x14ac:dyDescent="0.25">
      <c r="A10" s="4" t="s">
        <v>11</v>
      </c>
      <c r="B10" s="4" t="s">
        <v>148</v>
      </c>
      <c r="C10" s="4">
        <v>78.5</v>
      </c>
      <c r="D10" s="4" t="s">
        <v>1</v>
      </c>
      <c r="K10" s="4" t="s">
        <v>115</v>
      </c>
      <c r="L10" s="4">
        <v>55</v>
      </c>
      <c r="M10" s="4" t="s">
        <v>76</v>
      </c>
      <c r="N10" s="3" t="s">
        <v>77</v>
      </c>
      <c r="P10" s="4" t="s">
        <v>78</v>
      </c>
      <c r="Q10" s="4" t="s">
        <v>79</v>
      </c>
    </row>
    <row r="11" spans="1:17" s="4" customFormat="1" ht="13.5" customHeight="1" x14ac:dyDescent="0.25">
      <c r="A11" s="4" t="s">
        <v>12</v>
      </c>
      <c r="B11" s="4" t="s">
        <v>149</v>
      </c>
      <c r="C11" s="4">
        <v>107.2</v>
      </c>
      <c r="D11" s="4" t="s">
        <v>1</v>
      </c>
      <c r="K11" s="4" t="s">
        <v>138</v>
      </c>
      <c r="L11" s="4">
        <v>43</v>
      </c>
      <c r="M11" s="4" t="s">
        <v>76</v>
      </c>
      <c r="N11" s="3" t="s">
        <v>150</v>
      </c>
      <c r="P11" s="4" t="s">
        <v>78</v>
      </c>
      <c r="Q11" s="4" t="s">
        <v>79</v>
      </c>
    </row>
    <row r="12" spans="1:17" s="4" customFormat="1" ht="13.5" customHeight="1" x14ac:dyDescent="0.25">
      <c r="A12" s="4" t="s">
        <v>13</v>
      </c>
      <c r="B12" s="4" t="s">
        <v>149</v>
      </c>
      <c r="C12" s="4">
        <v>88.9</v>
      </c>
      <c r="D12" s="4" t="s">
        <v>1</v>
      </c>
      <c r="K12" s="4" t="s">
        <v>136</v>
      </c>
      <c r="L12" s="4">
        <v>64</v>
      </c>
      <c r="M12" s="4" t="s">
        <v>76</v>
      </c>
      <c r="N12" s="3" t="s">
        <v>150</v>
      </c>
      <c r="P12" s="4" t="s">
        <v>78</v>
      </c>
      <c r="Q12" s="4" t="s">
        <v>79</v>
      </c>
    </row>
    <row r="13" spans="1:17" s="4" customFormat="1" ht="13.5" customHeight="1" x14ac:dyDescent="0.25">
      <c r="A13" s="4" t="s">
        <v>14</v>
      </c>
      <c r="B13" s="4" t="s">
        <v>148</v>
      </c>
      <c r="C13" s="4">
        <v>90</v>
      </c>
      <c r="D13" s="4" t="s">
        <v>1</v>
      </c>
      <c r="K13" s="3" t="s">
        <v>116</v>
      </c>
      <c r="L13" s="4">
        <v>46</v>
      </c>
      <c r="M13" s="7" t="s">
        <v>125</v>
      </c>
      <c r="N13" s="4" t="s">
        <v>151</v>
      </c>
      <c r="P13" s="4" t="s">
        <v>78</v>
      </c>
      <c r="Q13" s="4" t="s">
        <v>79</v>
      </c>
    </row>
    <row r="14" spans="1:17" s="4" customFormat="1" ht="13.5" customHeight="1" x14ac:dyDescent="0.25">
      <c r="A14" s="4" t="s">
        <v>14</v>
      </c>
      <c r="B14" s="4" t="s">
        <v>148</v>
      </c>
      <c r="C14" s="4">
        <v>195</v>
      </c>
      <c r="D14" s="4" t="s">
        <v>1</v>
      </c>
      <c r="K14" s="3" t="s">
        <v>139</v>
      </c>
      <c r="L14" s="4">
        <v>39</v>
      </c>
      <c r="M14" s="4" t="s">
        <v>76</v>
      </c>
      <c r="N14" s="3" t="s">
        <v>77</v>
      </c>
      <c r="P14" s="4" t="s">
        <v>79</v>
      </c>
      <c r="Q14" s="4" t="s">
        <v>158</v>
      </c>
    </row>
    <row r="15" spans="1:17" s="4" customFormat="1" ht="13.5" customHeight="1" x14ac:dyDescent="0.25">
      <c r="A15" s="4" t="s">
        <v>15</v>
      </c>
      <c r="B15" s="4" t="s">
        <v>148</v>
      </c>
      <c r="C15" s="4">
        <v>141.30000000000001</v>
      </c>
      <c r="D15" s="4" t="s">
        <v>1</v>
      </c>
      <c r="K15" s="4" t="s">
        <v>99</v>
      </c>
      <c r="L15" s="4">
        <v>40</v>
      </c>
      <c r="M15" s="4" t="s">
        <v>76</v>
      </c>
      <c r="N15" s="3" t="s">
        <v>77</v>
      </c>
      <c r="P15" s="4" t="s">
        <v>78</v>
      </c>
      <c r="Q15" s="4" t="s">
        <v>79</v>
      </c>
    </row>
    <row r="16" spans="1:17" s="4" customFormat="1" ht="13.5" customHeight="1" x14ac:dyDescent="0.25">
      <c r="A16" s="4" t="s">
        <v>16</v>
      </c>
      <c r="B16" s="4" t="s">
        <v>148</v>
      </c>
      <c r="C16" s="4">
        <v>284.3</v>
      </c>
      <c r="D16" s="4" t="s">
        <v>1</v>
      </c>
      <c r="K16" s="4" t="s">
        <v>111</v>
      </c>
      <c r="L16" s="4">
        <v>41</v>
      </c>
      <c r="M16" s="4" t="s">
        <v>76</v>
      </c>
      <c r="N16" s="3" t="s">
        <v>77</v>
      </c>
      <c r="P16" s="4" t="s">
        <v>78</v>
      </c>
      <c r="Q16" s="4" t="s">
        <v>79</v>
      </c>
    </row>
    <row r="17" spans="1:17" s="4" customFormat="1" ht="13.5" customHeight="1" x14ac:dyDescent="0.25">
      <c r="A17" s="4" t="s">
        <v>17</v>
      </c>
      <c r="B17" s="4" t="s">
        <v>148</v>
      </c>
      <c r="C17" s="4">
        <v>265</v>
      </c>
      <c r="D17" s="4" t="s">
        <v>1</v>
      </c>
      <c r="K17" s="4" t="s">
        <v>101</v>
      </c>
      <c r="L17" s="4">
        <v>39</v>
      </c>
      <c r="M17" s="4" t="s">
        <v>76</v>
      </c>
      <c r="N17" s="3" t="s">
        <v>77</v>
      </c>
      <c r="P17" s="4" t="s">
        <v>78</v>
      </c>
      <c r="Q17" s="4" t="s">
        <v>79</v>
      </c>
    </row>
    <row r="18" spans="1:17" s="4" customFormat="1" ht="13.5" customHeight="1" x14ac:dyDescent="0.25">
      <c r="A18" s="4" t="s">
        <v>18</v>
      </c>
      <c r="B18" s="4" t="s">
        <v>148</v>
      </c>
      <c r="C18" s="4">
        <v>645</v>
      </c>
      <c r="D18" s="4" t="s">
        <v>1</v>
      </c>
      <c r="K18" s="4" t="s">
        <v>152</v>
      </c>
      <c r="L18" s="4">
        <v>68</v>
      </c>
      <c r="M18" s="4" t="s">
        <v>76</v>
      </c>
      <c r="N18" s="3" t="s">
        <v>77</v>
      </c>
      <c r="P18" s="4" t="s">
        <v>78</v>
      </c>
      <c r="Q18" s="4" t="s">
        <v>153</v>
      </c>
    </row>
    <row r="19" spans="1:17" s="4" customFormat="1" ht="13.5" customHeight="1" x14ac:dyDescent="0.25">
      <c r="A19" s="4" t="s">
        <v>19</v>
      </c>
      <c r="B19" s="4" t="s">
        <v>148</v>
      </c>
      <c r="C19" s="4">
        <v>231</v>
      </c>
      <c r="D19" s="4" t="s">
        <v>1</v>
      </c>
      <c r="K19" s="4" t="s">
        <v>112</v>
      </c>
      <c r="L19" s="4">
        <v>46</v>
      </c>
      <c r="M19" s="4" t="s">
        <v>76</v>
      </c>
      <c r="N19" s="3" t="s">
        <v>77</v>
      </c>
      <c r="P19" s="4" t="s">
        <v>78</v>
      </c>
      <c r="Q19" s="4" t="s">
        <v>79</v>
      </c>
    </row>
    <row r="20" spans="1:17" s="4" customFormat="1" ht="13.5" customHeight="1" x14ac:dyDescent="0.25">
      <c r="A20" s="4" t="s">
        <v>20</v>
      </c>
      <c r="B20" s="4" t="s">
        <v>148</v>
      </c>
      <c r="C20" s="4">
        <v>226</v>
      </c>
      <c r="D20" s="4" t="s">
        <v>1</v>
      </c>
      <c r="K20" s="4" t="s">
        <v>118</v>
      </c>
      <c r="L20" s="4">
        <v>61</v>
      </c>
      <c r="M20" s="4" t="s">
        <v>76</v>
      </c>
      <c r="N20" s="3" t="s">
        <v>77</v>
      </c>
      <c r="P20" s="4" t="s">
        <v>78</v>
      </c>
      <c r="Q20" s="4" t="s">
        <v>79</v>
      </c>
    </row>
    <row r="21" spans="1:17" s="4" customFormat="1" ht="13.5" customHeight="1" x14ac:dyDescent="0.25">
      <c r="A21" s="4" t="s">
        <v>21</v>
      </c>
      <c r="B21" s="4" t="s">
        <v>148</v>
      </c>
      <c r="C21" s="4">
        <v>157</v>
      </c>
      <c r="D21" s="4" t="s">
        <v>1</v>
      </c>
      <c r="K21" s="4" t="s">
        <v>104</v>
      </c>
      <c r="L21" s="4">
        <v>72</v>
      </c>
      <c r="M21" s="4" t="s">
        <v>76</v>
      </c>
      <c r="N21" s="3" t="s">
        <v>77</v>
      </c>
      <c r="P21" s="4" t="s">
        <v>78</v>
      </c>
      <c r="Q21" s="4" t="s">
        <v>79</v>
      </c>
    </row>
    <row r="22" spans="1:17" s="4" customFormat="1" ht="13.5" customHeight="1" x14ac:dyDescent="0.25">
      <c r="A22" s="4" t="s">
        <v>22</v>
      </c>
      <c r="B22" s="4" t="s">
        <v>148</v>
      </c>
      <c r="C22" s="4">
        <v>116</v>
      </c>
      <c r="D22" s="4" t="s">
        <v>1</v>
      </c>
      <c r="K22" s="4" t="s">
        <v>132</v>
      </c>
      <c r="L22" s="4">
        <v>57</v>
      </c>
      <c r="M22" s="4" t="s">
        <v>76</v>
      </c>
      <c r="N22" s="4" t="s">
        <v>77</v>
      </c>
      <c r="P22" s="4" t="s">
        <v>78</v>
      </c>
      <c r="Q22" s="4" t="s">
        <v>79</v>
      </c>
    </row>
    <row r="23" spans="1:17" s="4" customFormat="1" ht="13.5" customHeight="1" x14ac:dyDescent="0.25">
      <c r="A23" s="4" t="s">
        <v>23</v>
      </c>
      <c r="B23" s="4" t="s">
        <v>148</v>
      </c>
      <c r="C23" s="4">
        <v>1351</v>
      </c>
      <c r="D23" s="4" t="s">
        <v>8</v>
      </c>
      <c r="E23" s="4">
        <v>0.37330000000000002</v>
      </c>
      <c r="F23" s="4">
        <v>9.4143000000000008</v>
      </c>
      <c r="K23" s="4" t="s">
        <v>83</v>
      </c>
      <c r="L23" s="4">
        <v>62</v>
      </c>
      <c r="M23" s="4" t="s">
        <v>76</v>
      </c>
      <c r="N23" s="4" t="s">
        <v>77</v>
      </c>
      <c r="O23" s="4" t="s">
        <v>163</v>
      </c>
      <c r="P23" s="4" t="s">
        <v>79</v>
      </c>
      <c r="Q23" s="4" t="s">
        <v>158</v>
      </c>
    </row>
    <row r="24" spans="1:17" ht="13.5" customHeight="1" x14ac:dyDescent="0.25">
      <c r="A24" s="3" t="s">
        <v>24</v>
      </c>
      <c r="B24" s="4" t="s">
        <v>148</v>
      </c>
      <c r="C24" s="3">
        <v>16.7</v>
      </c>
      <c r="D24" s="3" t="s">
        <v>1</v>
      </c>
      <c r="K24" s="3" t="s">
        <v>92</v>
      </c>
      <c r="L24" s="4">
        <v>47</v>
      </c>
      <c r="M24" s="3" t="s">
        <v>76</v>
      </c>
      <c r="N24" s="3" t="s">
        <v>77</v>
      </c>
      <c r="O24" s="3"/>
      <c r="P24" s="3" t="s">
        <v>78</v>
      </c>
      <c r="Q24" s="4" t="s">
        <v>79</v>
      </c>
    </row>
    <row r="25" spans="1:17" s="3" customFormat="1" ht="13.5" customHeight="1" x14ac:dyDescent="0.25">
      <c r="A25" s="3" t="s">
        <v>25</v>
      </c>
      <c r="B25" s="4" t="s">
        <v>148</v>
      </c>
      <c r="C25" s="3">
        <v>43</v>
      </c>
      <c r="D25" s="3" t="s">
        <v>1</v>
      </c>
      <c r="K25" s="3" t="s">
        <v>117</v>
      </c>
      <c r="L25" s="4">
        <v>56</v>
      </c>
      <c r="M25" s="8" t="s">
        <v>125</v>
      </c>
      <c r="N25" s="3" t="s">
        <v>156</v>
      </c>
      <c r="P25" s="3" t="s">
        <v>78</v>
      </c>
      <c r="Q25" s="4" t="s">
        <v>79</v>
      </c>
    </row>
    <row r="26" spans="1:17" ht="13.5" customHeight="1" x14ac:dyDescent="0.25">
      <c r="A26" s="3" t="s">
        <v>25</v>
      </c>
      <c r="B26" s="4" t="s">
        <v>148</v>
      </c>
      <c r="C26" s="3">
        <v>1848</v>
      </c>
      <c r="D26" s="3" t="s">
        <v>5</v>
      </c>
      <c r="G26" s="3">
        <v>0.01</v>
      </c>
      <c r="H26" s="3">
        <v>3.7500000000000001E-4</v>
      </c>
      <c r="J26" s="3">
        <v>22.08</v>
      </c>
      <c r="K26" s="3" t="s">
        <v>140</v>
      </c>
      <c r="L26" s="4">
        <v>39</v>
      </c>
      <c r="M26" s="3" t="s">
        <v>76</v>
      </c>
      <c r="N26" s="3" t="s">
        <v>77</v>
      </c>
      <c r="O26" s="3" t="s">
        <v>164</v>
      </c>
      <c r="P26" s="4" t="s">
        <v>79</v>
      </c>
      <c r="Q26" s="4" t="s">
        <v>158</v>
      </c>
    </row>
    <row r="27" spans="1:17" ht="13.5" customHeight="1" x14ac:dyDescent="0.25">
      <c r="A27" s="3" t="s">
        <v>26</v>
      </c>
      <c r="B27" s="4" t="s">
        <v>148</v>
      </c>
      <c r="C27" s="3">
        <v>68.099999999999994</v>
      </c>
      <c r="D27" s="3" t="s">
        <v>1</v>
      </c>
      <c r="K27" s="3" t="s">
        <v>110</v>
      </c>
      <c r="L27" s="4">
        <v>70</v>
      </c>
      <c r="M27" s="4" t="s">
        <v>76</v>
      </c>
      <c r="N27" s="3" t="s">
        <v>77</v>
      </c>
      <c r="O27" s="3"/>
      <c r="P27" s="3" t="s">
        <v>78</v>
      </c>
      <c r="Q27" s="4" t="s">
        <v>79</v>
      </c>
    </row>
    <row r="28" spans="1:17" s="4" customFormat="1" ht="13.5" customHeight="1" x14ac:dyDescent="0.25">
      <c r="A28" s="3" t="s">
        <v>27</v>
      </c>
      <c r="B28" s="4" t="s">
        <v>148</v>
      </c>
      <c r="C28" s="3">
        <v>290</v>
      </c>
      <c r="D28" s="3" t="s">
        <v>1</v>
      </c>
      <c r="E28" s="3"/>
      <c r="F28" s="3"/>
      <c r="G28" s="3"/>
      <c r="H28" s="3"/>
      <c r="I28" s="3"/>
      <c r="J28" s="3"/>
      <c r="K28" s="3" t="s">
        <v>121</v>
      </c>
      <c r="L28" s="3">
        <v>99</v>
      </c>
      <c r="M28" s="3" t="s">
        <v>76</v>
      </c>
      <c r="N28" s="3" t="s">
        <v>77</v>
      </c>
      <c r="O28" s="3"/>
      <c r="P28" s="3" t="s">
        <v>78</v>
      </c>
      <c r="Q28" s="3" t="s">
        <v>79</v>
      </c>
    </row>
    <row r="29" spans="1:17" ht="13.5" customHeight="1" x14ac:dyDescent="0.25">
      <c r="A29" s="4" t="s">
        <v>28</v>
      </c>
      <c r="B29" s="4" t="s">
        <v>148</v>
      </c>
      <c r="C29" s="4">
        <v>495.1</v>
      </c>
      <c r="D29" s="4" t="s">
        <v>29</v>
      </c>
      <c r="E29" s="4"/>
      <c r="F29" s="4"/>
      <c r="G29" s="4">
        <f>LN(2)/20.327</f>
        <v>3.409982685885498E-2</v>
      </c>
      <c r="H29" s="4">
        <f>LN(2)/498.105</f>
        <v>1.3915684053762666E-3</v>
      </c>
      <c r="I29" s="4">
        <v>0.1804</v>
      </c>
      <c r="J29" s="4"/>
      <c r="K29" s="4" t="s">
        <v>81</v>
      </c>
      <c r="L29" s="4">
        <v>39</v>
      </c>
      <c r="M29" s="4" t="s">
        <v>76</v>
      </c>
      <c r="N29" s="3" t="s">
        <v>77</v>
      </c>
      <c r="O29" s="4" t="s">
        <v>122</v>
      </c>
      <c r="P29" s="4" t="s">
        <v>168</v>
      </c>
      <c r="Q29" s="4" t="s">
        <v>79</v>
      </c>
    </row>
    <row r="30" spans="1:17" s="4" customFormat="1" ht="13.5" customHeight="1" x14ac:dyDescent="0.25">
      <c r="A30" s="4" t="s">
        <v>30</v>
      </c>
      <c r="B30" s="4" t="s">
        <v>148</v>
      </c>
      <c r="C30" s="3">
        <v>119</v>
      </c>
      <c r="D30" s="3" t="s">
        <v>1</v>
      </c>
      <c r="E30" s="3"/>
      <c r="F30" s="3"/>
      <c r="G30" s="3"/>
      <c r="H30" s="3"/>
      <c r="I30" s="3"/>
      <c r="J30" s="3"/>
      <c r="K30" s="3" t="s">
        <v>134</v>
      </c>
      <c r="L30" s="3">
        <v>61</v>
      </c>
      <c r="M30" s="3" t="s">
        <v>76</v>
      </c>
      <c r="N30" s="3" t="s">
        <v>77</v>
      </c>
      <c r="O30" s="3"/>
      <c r="P30" s="3" t="s">
        <v>78</v>
      </c>
      <c r="Q30" s="3" t="s">
        <v>79</v>
      </c>
    </row>
    <row r="31" spans="1:17" ht="13.5" customHeight="1" x14ac:dyDescent="0.25">
      <c r="A31" s="4" t="s">
        <v>31</v>
      </c>
      <c r="B31" s="4" t="s">
        <v>148</v>
      </c>
      <c r="C31" s="4">
        <v>155</v>
      </c>
      <c r="D31" s="4" t="s">
        <v>8</v>
      </c>
      <c r="E31" s="4">
        <v>1.1299999999999999</v>
      </c>
      <c r="F31" s="4">
        <v>77.099999999999994</v>
      </c>
      <c r="G31" s="4"/>
      <c r="H31" s="4"/>
      <c r="I31" s="4"/>
      <c r="J31" s="4"/>
      <c r="K31" s="4" t="s">
        <v>87</v>
      </c>
      <c r="L31" s="6">
        <v>36</v>
      </c>
      <c r="M31" s="4" t="s">
        <v>76</v>
      </c>
      <c r="N31" s="3" t="s">
        <v>77</v>
      </c>
      <c r="O31" s="4" t="s">
        <v>166</v>
      </c>
      <c r="P31" s="4" t="s">
        <v>79</v>
      </c>
      <c r="Q31" s="4" t="s">
        <v>158</v>
      </c>
    </row>
    <row r="32" spans="1:17" s="4" customFormat="1" ht="13.5" customHeight="1" x14ac:dyDescent="0.25">
      <c r="A32" s="4" t="s">
        <v>32</v>
      </c>
      <c r="B32" s="4" t="s">
        <v>145</v>
      </c>
      <c r="C32" s="4">
        <v>240</v>
      </c>
      <c r="D32" s="4" t="s">
        <v>66</v>
      </c>
      <c r="K32" s="4" t="s">
        <v>141</v>
      </c>
      <c r="L32" s="4">
        <v>12</v>
      </c>
      <c r="M32" s="4" t="s">
        <v>76</v>
      </c>
      <c r="N32" s="4" t="s">
        <v>155</v>
      </c>
      <c r="O32" s="4" t="s">
        <v>154</v>
      </c>
      <c r="P32" s="4" t="s">
        <v>78</v>
      </c>
      <c r="Q32" s="4" t="s">
        <v>153</v>
      </c>
    </row>
    <row r="33" spans="1:18" s="3" customFormat="1" ht="13.5" customHeight="1" x14ac:dyDescent="0.25">
      <c r="A33" s="3" t="s">
        <v>33</v>
      </c>
      <c r="B33" s="3" t="s">
        <v>148</v>
      </c>
      <c r="C33" s="3">
        <v>284400</v>
      </c>
      <c r="D33" s="3" t="s">
        <v>8</v>
      </c>
      <c r="E33" s="3">
        <v>0.2059</v>
      </c>
      <c r="F33" s="3">
        <v>13.1342</v>
      </c>
      <c r="K33" s="3" t="s">
        <v>86</v>
      </c>
      <c r="L33" s="3">
        <v>49</v>
      </c>
      <c r="M33" s="3" t="s">
        <v>76</v>
      </c>
      <c r="N33" s="3" t="s">
        <v>77</v>
      </c>
      <c r="O33" s="3" t="s">
        <v>167</v>
      </c>
      <c r="P33" s="3" t="s">
        <v>79</v>
      </c>
      <c r="Q33" s="3" t="s">
        <v>158</v>
      </c>
    </row>
    <row r="34" spans="1:18" ht="13.5" customHeight="1" x14ac:dyDescent="0.25">
      <c r="A34" s="3" t="s">
        <v>34</v>
      </c>
      <c r="B34" s="4" t="s">
        <v>148</v>
      </c>
      <c r="C34" s="3">
        <v>168.4</v>
      </c>
      <c r="D34" s="3" t="s">
        <v>1</v>
      </c>
      <c r="K34" s="3" t="s">
        <v>106</v>
      </c>
      <c r="L34" s="3">
        <v>29</v>
      </c>
      <c r="M34" s="3" t="s">
        <v>76</v>
      </c>
      <c r="N34" s="3" t="s">
        <v>77</v>
      </c>
      <c r="O34" s="3"/>
      <c r="P34" s="3" t="s">
        <v>78</v>
      </c>
      <c r="Q34" s="3" t="s">
        <v>79</v>
      </c>
    </row>
    <row r="35" spans="1:18" s="3" customFormat="1" ht="13.5" customHeight="1" x14ac:dyDescent="0.25">
      <c r="A35" s="3" t="s">
        <v>35</v>
      </c>
      <c r="B35" s="4" t="s">
        <v>148</v>
      </c>
      <c r="C35" s="3">
        <v>72.3</v>
      </c>
      <c r="D35" s="3" t="s">
        <v>36</v>
      </c>
      <c r="K35" s="3" t="s">
        <v>102</v>
      </c>
      <c r="L35" s="3">
        <v>43</v>
      </c>
      <c r="M35" s="3" t="s">
        <v>76</v>
      </c>
      <c r="N35" s="3" t="s">
        <v>77</v>
      </c>
      <c r="P35" s="3" t="s">
        <v>78</v>
      </c>
      <c r="Q35" s="3" t="s">
        <v>79</v>
      </c>
    </row>
    <row r="36" spans="1:18" ht="13.5" customHeight="1" x14ac:dyDescent="0.25">
      <c r="A36" s="3" t="s">
        <v>37</v>
      </c>
      <c r="B36" s="4" t="s">
        <v>148</v>
      </c>
      <c r="C36" s="3">
        <v>82.1</v>
      </c>
      <c r="D36" s="3" t="s">
        <v>1</v>
      </c>
      <c r="K36" s="3" t="s">
        <v>107</v>
      </c>
      <c r="L36" s="3">
        <v>47</v>
      </c>
      <c r="M36" s="3" t="s">
        <v>76</v>
      </c>
      <c r="N36" s="3" t="s">
        <v>77</v>
      </c>
      <c r="O36" s="3"/>
      <c r="P36" s="3" t="s">
        <v>78</v>
      </c>
      <c r="Q36" s="3" t="s">
        <v>79</v>
      </c>
    </row>
    <row r="37" spans="1:18" ht="13.5" customHeight="1" x14ac:dyDescent="0.25">
      <c r="A37" s="3" t="s">
        <v>126</v>
      </c>
      <c r="B37" s="4" t="s">
        <v>148</v>
      </c>
      <c r="C37" s="3">
        <v>30.9</v>
      </c>
      <c r="D37" s="3" t="s">
        <v>1</v>
      </c>
      <c r="K37" s="3" t="s">
        <v>128</v>
      </c>
      <c r="L37" s="3">
        <v>20</v>
      </c>
      <c r="M37" s="4" t="s">
        <v>76</v>
      </c>
      <c r="N37" s="3" t="s">
        <v>77</v>
      </c>
      <c r="O37" s="4" t="s">
        <v>127</v>
      </c>
      <c r="P37" s="3" t="s">
        <v>78</v>
      </c>
      <c r="Q37" s="3" t="s">
        <v>79</v>
      </c>
    </row>
    <row r="38" spans="1:18" ht="13.5" customHeight="1" x14ac:dyDescent="0.25">
      <c r="A38" s="3" t="s">
        <v>38</v>
      </c>
      <c r="B38" s="4" t="s">
        <v>148</v>
      </c>
      <c r="C38" s="3">
        <v>22</v>
      </c>
      <c r="D38" s="3" t="s">
        <v>1</v>
      </c>
      <c r="K38" s="3" t="s">
        <v>120</v>
      </c>
      <c r="L38" s="3">
        <v>60</v>
      </c>
      <c r="M38" s="3" t="s">
        <v>76</v>
      </c>
      <c r="N38" s="3" t="s">
        <v>77</v>
      </c>
      <c r="O38" s="3"/>
      <c r="P38" s="3" t="s">
        <v>78</v>
      </c>
      <c r="Q38" s="3" t="s">
        <v>79</v>
      </c>
    </row>
    <row r="39" spans="1:18" ht="13.5" customHeight="1" x14ac:dyDescent="0.25">
      <c r="A39" s="3" t="s">
        <v>39</v>
      </c>
      <c r="B39" s="4" t="s">
        <v>148</v>
      </c>
      <c r="C39" s="3">
        <v>259</v>
      </c>
      <c r="D39" s="3" t="s">
        <v>1</v>
      </c>
      <c r="K39" s="3" t="s">
        <v>114</v>
      </c>
      <c r="L39" s="3">
        <v>54</v>
      </c>
      <c r="M39" s="3" t="s">
        <v>76</v>
      </c>
      <c r="N39" s="3" t="s">
        <v>77</v>
      </c>
      <c r="O39" s="3"/>
      <c r="P39" s="3" t="s">
        <v>78</v>
      </c>
      <c r="Q39" s="3" t="s">
        <v>79</v>
      </c>
    </row>
    <row r="40" spans="1:18" ht="13.5" customHeight="1" x14ac:dyDescent="0.25">
      <c r="A40" s="3" t="s">
        <v>40</v>
      </c>
      <c r="B40" s="4" t="s">
        <v>148</v>
      </c>
      <c r="C40" s="3">
        <v>127</v>
      </c>
      <c r="D40" s="3" t="s">
        <v>1</v>
      </c>
      <c r="K40" s="3" t="s">
        <v>96</v>
      </c>
      <c r="L40" s="3">
        <v>54</v>
      </c>
      <c r="M40" s="3" t="s">
        <v>76</v>
      </c>
      <c r="N40" s="3" t="s">
        <v>77</v>
      </c>
      <c r="O40" s="3"/>
      <c r="P40" s="3" t="s">
        <v>78</v>
      </c>
      <c r="Q40" s="3" t="s">
        <v>79</v>
      </c>
    </row>
    <row r="41" spans="1:18" ht="13.5" customHeight="1" x14ac:dyDescent="0.25">
      <c r="A41" s="3" t="s">
        <v>41</v>
      </c>
      <c r="B41" s="4" t="s">
        <v>148</v>
      </c>
      <c r="C41" s="3">
        <v>113.2</v>
      </c>
      <c r="D41" s="3" t="s">
        <v>1</v>
      </c>
      <c r="K41" s="3" t="s">
        <v>98</v>
      </c>
      <c r="L41" s="3">
        <v>35</v>
      </c>
      <c r="M41" s="3" t="s">
        <v>76</v>
      </c>
      <c r="N41" s="3" t="s">
        <v>77</v>
      </c>
      <c r="O41" s="3" t="s">
        <v>142</v>
      </c>
      <c r="P41" s="3" t="s">
        <v>78</v>
      </c>
      <c r="Q41" s="3" t="s">
        <v>79</v>
      </c>
    </row>
    <row r="42" spans="1:18" ht="13.5" customHeight="1" x14ac:dyDescent="0.25">
      <c r="A42" s="3" t="s">
        <v>42</v>
      </c>
      <c r="B42" s="4" t="s">
        <v>148</v>
      </c>
      <c r="C42" s="3">
        <v>115</v>
      </c>
      <c r="D42" s="3" t="s">
        <v>1</v>
      </c>
      <c r="K42" s="3" t="s">
        <v>119</v>
      </c>
      <c r="L42" s="3">
        <v>65</v>
      </c>
      <c r="M42" s="3" t="s">
        <v>76</v>
      </c>
      <c r="N42" s="3" t="s">
        <v>77</v>
      </c>
      <c r="O42" s="3"/>
      <c r="P42" s="3" t="s">
        <v>78</v>
      </c>
      <c r="Q42" s="3" t="s">
        <v>79</v>
      </c>
    </row>
    <row r="43" spans="1:18" ht="13.5" customHeight="1" x14ac:dyDescent="0.25">
      <c r="A43" s="3" t="s">
        <v>43</v>
      </c>
      <c r="B43" s="4" t="s">
        <v>148</v>
      </c>
      <c r="C43" s="3">
        <v>138.6</v>
      </c>
      <c r="D43" s="3" t="s">
        <v>29</v>
      </c>
      <c r="G43" s="3">
        <v>3.7699999999999997E-2</v>
      </c>
      <c r="H43" s="3">
        <v>5.0000000000000001E-3</v>
      </c>
      <c r="I43" s="3">
        <v>0.34949999999999998</v>
      </c>
      <c r="K43" s="3" t="s">
        <v>131</v>
      </c>
      <c r="L43" s="3">
        <v>31</v>
      </c>
      <c r="M43" s="3" t="s">
        <v>76</v>
      </c>
      <c r="N43" s="3" t="s">
        <v>77</v>
      </c>
      <c r="O43" s="3" t="s">
        <v>164</v>
      </c>
      <c r="P43" s="3" t="s">
        <v>169</v>
      </c>
      <c r="Q43" s="3"/>
    </row>
    <row r="44" spans="1:18" ht="13.5" customHeight="1" x14ac:dyDescent="0.25">
      <c r="A44" t="s">
        <v>44</v>
      </c>
      <c r="B44" s="4" t="s">
        <v>148</v>
      </c>
      <c r="C44">
        <v>187</v>
      </c>
      <c r="D44" t="s">
        <v>1</v>
      </c>
      <c r="K44" s="3" t="s">
        <v>105</v>
      </c>
      <c r="L44" s="3">
        <v>73</v>
      </c>
      <c r="M44" s="3" t="s">
        <v>76</v>
      </c>
      <c r="N44" s="3" t="s">
        <v>77</v>
      </c>
      <c r="O44" s="3"/>
      <c r="P44" s="3" t="s">
        <v>78</v>
      </c>
      <c r="Q44" s="3" t="s">
        <v>79</v>
      </c>
    </row>
    <row r="45" spans="1:18" ht="13.5" customHeight="1" x14ac:dyDescent="0.25">
      <c r="A45" s="3" t="s">
        <v>45</v>
      </c>
      <c r="B45" s="4" t="s">
        <v>148</v>
      </c>
      <c r="C45" s="3">
        <v>22.2</v>
      </c>
      <c r="D45" s="3" t="s">
        <v>1</v>
      </c>
      <c r="K45" s="3" t="s">
        <v>93</v>
      </c>
      <c r="L45" s="3">
        <v>36</v>
      </c>
      <c r="M45" s="3" t="s">
        <v>76</v>
      </c>
      <c r="N45" s="3" t="s">
        <v>77</v>
      </c>
      <c r="O45" s="3" t="s">
        <v>143</v>
      </c>
      <c r="P45" s="3" t="s">
        <v>78</v>
      </c>
      <c r="Q45" s="3" t="s">
        <v>79</v>
      </c>
    </row>
    <row r="46" spans="1:18" s="3" customFormat="1" ht="13.5" customHeight="1" x14ac:dyDescent="0.25">
      <c r="A46" s="3" t="s">
        <v>46</v>
      </c>
      <c r="B46" s="3" t="s">
        <v>148</v>
      </c>
      <c r="C46" s="3">
        <v>127.9</v>
      </c>
      <c r="D46" s="3" t="s">
        <v>8</v>
      </c>
      <c r="E46" s="3">
        <v>0.83199999999999996</v>
      </c>
      <c r="F46" s="3">
        <v>28.478999999999999</v>
      </c>
      <c r="K46" s="3" t="s">
        <v>82</v>
      </c>
      <c r="L46" s="3">
        <v>53</v>
      </c>
      <c r="M46" s="3" t="s">
        <v>76</v>
      </c>
      <c r="N46" s="3" t="s">
        <v>77</v>
      </c>
      <c r="O46" s="3" t="s">
        <v>170</v>
      </c>
      <c r="P46" s="3" t="s">
        <v>79</v>
      </c>
      <c r="Q46" s="3" t="s">
        <v>158</v>
      </c>
    </row>
    <row r="47" spans="1:18" s="4" customFormat="1" ht="13.5" customHeight="1" x14ac:dyDescent="0.25">
      <c r="A47" s="4" t="s">
        <v>47</v>
      </c>
      <c r="B47" s="4" t="s">
        <v>148</v>
      </c>
      <c r="C47" s="4">
        <v>2272.5</v>
      </c>
      <c r="D47" s="4" t="s">
        <v>8</v>
      </c>
      <c r="E47" s="4">
        <v>0.35930000000000001</v>
      </c>
      <c r="F47" s="4">
        <v>12.45</v>
      </c>
      <c r="K47" s="4" t="s">
        <v>88</v>
      </c>
      <c r="L47" s="4">
        <v>53</v>
      </c>
      <c r="M47" s="5" t="s">
        <v>76</v>
      </c>
      <c r="N47" s="3" t="s">
        <v>77</v>
      </c>
      <c r="O47" s="4" t="s">
        <v>173</v>
      </c>
      <c r="P47" s="4" t="s">
        <v>80</v>
      </c>
      <c r="Q47" s="4" t="s">
        <v>79</v>
      </c>
    </row>
    <row r="48" spans="1:18" ht="13.5" customHeight="1" x14ac:dyDescent="0.25">
      <c r="A48" s="3" t="s">
        <v>48</v>
      </c>
      <c r="B48" s="4" t="s">
        <v>148</v>
      </c>
      <c r="C48" s="3">
        <v>322</v>
      </c>
      <c r="D48" s="3" t="s">
        <v>29</v>
      </c>
      <c r="G48" s="3">
        <v>9.3649999999999997E-2</v>
      </c>
      <c r="H48" s="3">
        <v>2.153E-3</v>
      </c>
      <c r="I48" s="3">
        <v>0.50360000000000005</v>
      </c>
      <c r="K48" s="3" t="s">
        <v>75</v>
      </c>
      <c r="L48" s="3">
        <v>32</v>
      </c>
      <c r="M48" s="3" t="s">
        <v>76</v>
      </c>
      <c r="N48" s="3" t="s">
        <v>77</v>
      </c>
      <c r="O48" s="4" t="s">
        <v>172</v>
      </c>
      <c r="P48" s="3" t="s">
        <v>80</v>
      </c>
      <c r="Q48" s="4" t="s">
        <v>79</v>
      </c>
      <c r="R48" s="4"/>
    </row>
    <row r="49" spans="1:17" ht="13.5" customHeight="1" x14ac:dyDescent="0.25">
      <c r="A49" s="3" t="s">
        <v>49</v>
      </c>
      <c r="B49" s="4" t="s">
        <v>148</v>
      </c>
      <c r="C49" s="3">
        <v>70</v>
      </c>
      <c r="D49" s="3" t="s">
        <v>1</v>
      </c>
      <c r="K49" s="3" t="s">
        <v>94</v>
      </c>
      <c r="L49" s="4">
        <v>66</v>
      </c>
      <c r="M49" s="3" t="s">
        <v>76</v>
      </c>
      <c r="N49" s="3" t="s">
        <v>77</v>
      </c>
      <c r="O49" s="3"/>
      <c r="P49" s="3" t="s">
        <v>78</v>
      </c>
      <c r="Q49" s="4" t="s">
        <v>79</v>
      </c>
    </row>
    <row r="50" spans="1:17" ht="13.5" customHeight="1" x14ac:dyDescent="0.25">
      <c r="A50" s="3" t="s">
        <v>50</v>
      </c>
      <c r="B50" s="4" t="s">
        <v>148</v>
      </c>
      <c r="C50" s="3">
        <v>13</v>
      </c>
      <c r="D50" s="3" t="s">
        <v>1</v>
      </c>
      <c r="K50" s="3" t="s">
        <v>85</v>
      </c>
      <c r="L50" s="4">
        <v>50</v>
      </c>
      <c r="M50" s="3" t="s">
        <v>76</v>
      </c>
      <c r="N50" s="3" t="s">
        <v>77</v>
      </c>
      <c r="O50" s="3"/>
      <c r="P50" s="3" t="s">
        <v>78</v>
      </c>
      <c r="Q50" s="4" t="s">
        <v>79</v>
      </c>
    </row>
    <row r="51" spans="1:17" ht="13.5" customHeight="1" x14ac:dyDescent="0.25">
      <c r="A51" s="4" t="s">
        <v>51</v>
      </c>
      <c r="B51" s="4" t="s">
        <v>148</v>
      </c>
      <c r="C51" s="4">
        <v>495</v>
      </c>
      <c r="D51" s="4" t="s">
        <v>29</v>
      </c>
      <c r="E51" s="4"/>
      <c r="F51" s="4"/>
      <c r="G51" s="9">
        <v>1.9699999999999999E-2</v>
      </c>
      <c r="H51" s="4">
        <v>1.4E-3</v>
      </c>
      <c r="I51" s="4">
        <v>0.39860000000000001</v>
      </c>
      <c r="J51" s="4"/>
      <c r="K51" s="4" t="s">
        <v>157</v>
      </c>
      <c r="L51" s="4">
        <v>64</v>
      </c>
      <c r="M51" s="5" t="s">
        <v>76</v>
      </c>
      <c r="N51" s="3" t="s">
        <v>77</v>
      </c>
      <c r="O51" s="4"/>
      <c r="P51" s="4" t="s">
        <v>158</v>
      </c>
      <c r="Q51" s="4" t="s">
        <v>79</v>
      </c>
    </row>
    <row r="52" spans="1:17" ht="13.5" customHeight="1" x14ac:dyDescent="0.25">
      <c r="A52" t="s">
        <v>52</v>
      </c>
      <c r="B52" s="4" t="s">
        <v>148</v>
      </c>
      <c r="C52">
        <v>54</v>
      </c>
      <c r="D52" t="s">
        <v>1</v>
      </c>
      <c r="K52" t="s">
        <v>113</v>
      </c>
      <c r="L52" s="4">
        <v>54</v>
      </c>
      <c r="M52" s="8" t="s">
        <v>125</v>
      </c>
      <c r="N52" s="3" t="s">
        <v>159</v>
      </c>
      <c r="P52" s="3" t="s">
        <v>78</v>
      </c>
      <c r="Q52" s="4" t="s">
        <v>79</v>
      </c>
    </row>
    <row r="53" spans="1:17" s="3" customFormat="1" ht="13.5" customHeight="1" x14ac:dyDescent="0.25">
      <c r="A53" s="3" t="s">
        <v>52</v>
      </c>
      <c r="B53" s="4" t="s">
        <v>148</v>
      </c>
      <c r="C53" s="3">
        <v>53.6</v>
      </c>
      <c r="D53" s="3" t="s">
        <v>1</v>
      </c>
      <c r="K53" s="3" t="s">
        <v>144</v>
      </c>
      <c r="L53" s="4">
        <v>69</v>
      </c>
      <c r="M53" s="3" t="s">
        <v>76</v>
      </c>
      <c r="N53" s="3" t="s">
        <v>77</v>
      </c>
      <c r="P53" s="4" t="s">
        <v>79</v>
      </c>
      <c r="Q53" s="4" t="s">
        <v>158</v>
      </c>
    </row>
    <row r="54" spans="1:17" ht="13.5" customHeight="1" x14ac:dyDescent="0.25">
      <c r="A54" t="s">
        <v>53</v>
      </c>
      <c r="B54" s="3" t="s">
        <v>145</v>
      </c>
      <c r="C54">
        <v>55.7</v>
      </c>
      <c r="D54" t="s">
        <v>1</v>
      </c>
      <c r="K54" t="s">
        <v>109</v>
      </c>
      <c r="L54" s="3">
        <v>44</v>
      </c>
      <c r="M54" s="4" t="s">
        <v>76</v>
      </c>
      <c r="N54" s="3" t="s">
        <v>77</v>
      </c>
      <c r="O54" s="3"/>
      <c r="P54" s="3" t="s">
        <v>78</v>
      </c>
      <c r="Q54" s="3" t="s">
        <v>79</v>
      </c>
    </row>
    <row r="55" spans="1:17" ht="13.5" customHeight="1" x14ac:dyDescent="0.25">
      <c r="A55" s="3" t="s">
        <v>54</v>
      </c>
      <c r="B55" s="4" t="s">
        <v>148</v>
      </c>
      <c r="C55" s="3">
        <v>91.6</v>
      </c>
      <c r="D55" s="3" t="s">
        <v>1</v>
      </c>
      <c r="K55" s="3" t="s">
        <v>103</v>
      </c>
      <c r="L55" s="3">
        <v>46</v>
      </c>
      <c r="M55" s="3" t="s">
        <v>76</v>
      </c>
      <c r="N55" s="3" t="s">
        <v>77</v>
      </c>
      <c r="O55" s="3"/>
      <c r="P55" s="3" t="s">
        <v>78</v>
      </c>
      <c r="Q55" s="3" t="s">
        <v>79</v>
      </c>
    </row>
    <row r="56" spans="1:17" ht="13.5" customHeight="1" x14ac:dyDescent="0.25">
      <c r="A56" s="3" t="s">
        <v>55</v>
      </c>
      <c r="B56" s="4" t="s">
        <v>148</v>
      </c>
      <c r="C56" s="3">
        <v>154.30000000000001</v>
      </c>
      <c r="D56" s="3" t="s">
        <v>1</v>
      </c>
      <c r="K56" s="3" t="s">
        <v>100</v>
      </c>
      <c r="L56" s="3">
        <v>39</v>
      </c>
      <c r="M56" s="3" t="s">
        <v>76</v>
      </c>
      <c r="N56" s="3" t="s">
        <v>77</v>
      </c>
      <c r="O56" s="3"/>
      <c r="P56" s="3" t="s">
        <v>78</v>
      </c>
      <c r="Q56" s="3" t="s">
        <v>79</v>
      </c>
    </row>
    <row r="57" spans="1:17" ht="13.5" customHeight="1" x14ac:dyDescent="0.25">
      <c r="A57" s="3" t="s">
        <v>56</v>
      </c>
      <c r="B57" s="3" t="s">
        <v>145</v>
      </c>
      <c r="C57" s="3">
        <v>22.4</v>
      </c>
      <c r="D57" s="3" t="s">
        <v>1</v>
      </c>
      <c r="K57" s="3" t="s">
        <v>133</v>
      </c>
      <c r="L57" s="3">
        <v>20</v>
      </c>
      <c r="M57" s="3" t="s">
        <v>76</v>
      </c>
      <c r="N57" s="3" t="s">
        <v>77</v>
      </c>
      <c r="O57" s="3"/>
      <c r="P57" s="3" t="s">
        <v>78</v>
      </c>
      <c r="Q57" s="3" t="s">
        <v>79</v>
      </c>
    </row>
    <row r="58" spans="1:17" ht="13.5" customHeight="1" x14ac:dyDescent="0.25">
      <c r="A58" s="3" t="s">
        <v>57</v>
      </c>
      <c r="B58" s="4" t="s">
        <v>148</v>
      </c>
      <c r="C58" s="3">
        <v>46.6</v>
      </c>
      <c r="D58" s="3" t="s">
        <v>1</v>
      </c>
      <c r="K58" s="3" t="s">
        <v>135</v>
      </c>
      <c r="L58" s="3">
        <v>64</v>
      </c>
      <c r="M58" s="8" t="s">
        <v>125</v>
      </c>
      <c r="N58" s="3" t="s">
        <v>160</v>
      </c>
      <c r="O58" s="3" t="s">
        <v>161</v>
      </c>
      <c r="P58" s="3" t="s">
        <v>78</v>
      </c>
      <c r="Q58" s="3" t="s">
        <v>158</v>
      </c>
    </row>
    <row r="59" spans="1:17" s="3" customFormat="1" ht="13.5" customHeight="1" x14ac:dyDescent="0.25">
      <c r="A59" s="3" t="s">
        <v>57</v>
      </c>
      <c r="B59" s="4" t="s">
        <v>148</v>
      </c>
      <c r="C59" s="3">
        <v>149.9</v>
      </c>
      <c r="D59" s="3" t="s">
        <v>1</v>
      </c>
      <c r="K59" s="3" t="s">
        <v>135</v>
      </c>
      <c r="L59" s="3">
        <v>64</v>
      </c>
      <c r="M59" s="3" t="s">
        <v>76</v>
      </c>
      <c r="N59" s="3" t="s">
        <v>77</v>
      </c>
      <c r="O59" s="3" t="s">
        <v>162</v>
      </c>
      <c r="P59" s="3" t="s">
        <v>158</v>
      </c>
      <c r="Q59" s="3" t="s">
        <v>79</v>
      </c>
    </row>
    <row r="60" spans="1:17" ht="13.5" customHeight="1" x14ac:dyDescent="0.25">
      <c r="A60" s="3" t="s">
        <v>58</v>
      </c>
      <c r="B60" s="4" t="s">
        <v>148</v>
      </c>
      <c r="C60" s="3">
        <v>16.8</v>
      </c>
      <c r="D60" s="3" t="s">
        <v>1</v>
      </c>
      <c r="K60" s="3" t="s">
        <v>129</v>
      </c>
      <c r="L60" s="3">
        <v>44</v>
      </c>
      <c r="M60" s="3" t="s">
        <v>76</v>
      </c>
      <c r="N60" s="3" t="s">
        <v>77</v>
      </c>
      <c r="O60" s="3"/>
      <c r="P60" s="3" t="s">
        <v>78</v>
      </c>
      <c r="Q60" s="3" t="s">
        <v>79</v>
      </c>
    </row>
    <row r="61" spans="1:17" ht="13.5" customHeight="1" x14ac:dyDescent="0.25">
      <c r="A61" s="3" t="s">
        <v>59</v>
      </c>
      <c r="B61" s="4" t="s">
        <v>148</v>
      </c>
      <c r="C61" s="3">
        <v>6.71</v>
      </c>
      <c r="D61" s="3" t="s">
        <v>1</v>
      </c>
      <c r="K61" s="3" t="s">
        <v>89</v>
      </c>
      <c r="L61" s="3">
        <v>37</v>
      </c>
      <c r="M61" s="3" t="s">
        <v>76</v>
      </c>
      <c r="N61" s="3" t="s">
        <v>77</v>
      </c>
      <c r="O61" s="3"/>
      <c r="P61" s="3" t="s">
        <v>78</v>
      </c>
      <c r="Q61" s="3" t="s">
        <v>79</v>
      </c>
    </row>
  </sheetData>
  <autoFilter ref="A1:Q61" xr:uid="{44ABC253-0668-4FE2-BC14-84FC263B038A}">
    <sortState xmlns:xlrd2="http://schemas.microsoft.com/office/spreadsheetml/2017/richdata2" ref="A2:Q61">
      <sortCondition ref="A1:A61"/>
    </sortState>
  </autoFilter>
  <sortState xmlns:xlrd2="http://schemas.microsoft.com/office/spreadsheetml/2017/richdata2" ref="A2:J61">
    <sortCondition ref="D1:D6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Soil degradation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Lutz Elisabeth</dc:creator>
  <cp:lastModifiedBy>Ranke Johannes</cp:lastModifiedBy>
  <dcterms:created xsi:type="dcterms:W3CDTF">2015-06-05T18:19:34Z</dcterms:created>
  <dcterms:modified xsi:type="dcterms:W3CDTF">2026-09-07T13:58:37Z</dcterms:modified>
</cp:coreProperties>
</file>