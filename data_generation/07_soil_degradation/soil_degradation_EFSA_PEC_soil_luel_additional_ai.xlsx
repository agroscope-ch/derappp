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O:\Data-Work\41_AssessmentPPP-RE\412.34_Projekte\054_derappp\05_Daten\Input\07_soil_degradation\"/>
    </mc:Choice>
  </mc:AlternateContent>
  <xr:revisionPtr revIDLastSave="0" documentId="13_ncr:1_{0A6A1019-254D-4E5D-8D85-0DA6AF975297}" xr6:coauthVersionLast="47" xr6:coauthVersionMax="47" xr10:uidLastSave="{00000000-0000-0000-0000-000000000000}"/>
  <bookViews>
    <workbookView xWindow="-29085" yWindow="4545" windowWidth="28800" windowHeight="6705" xr2:uid="{00000000-000D-0000-FFFF-FFFF00000000}"/>
  </bookViews>
  <sheets>
    <sheet name="Tabelle2" sheetId="2" r:id="rId1"/>
    <sheet name="Tabelle3" sheetId="3" r:id="rId2"/>
  </sheets>
  <definedNames>
    <definedName name="_xlnm._FilterDatabase" localSheetId="0" hidden="1">Tabelle2!$A$1:$Q$1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" i="2" l="1"/>
</calcChain>
</file>

<file path=xl/sharedStrings.xml><?xml version="1.0" encoding="utf-8"?>
<sst xmlns="http://schemas.openxmlformats.org/spreadsheetml/2006/main" count="220" uniqueCount="125">
  <si>
    <t>SFO</t>
  </si>
  <si>
    <t>EFSA Journal 2014;12(4):3237</t>
  </si>
  <si>
    <t>EFSA Journal 2020;18(1):5985</t>
  </si>
  <si>
    <t>EFSA Journal 2010;8(11):1897</t>
  </si>
  <si>
    <t>EFSA Journal 2025:9209</t>
  </si>
  <si>
    <t>EFSA Journal 2011;9(1):1967</t>
  </si>
  <si>
    <t>EFSA Journal 2013;11(12):3493</t>
  </si>
  <si>
    <t>Fluazinam</t>
  </si>
  <si>
    <t>EFSA Journal 2016;14(7):4518</t>
  </si>
  <si>
    <t>EFSA Journal 2012;10(11):2935</t>
  </si>
  <si>
    <t>EFSA Journal 2017;15(6):4852</t>
  </si>
  <si>
    <t>EFSA Journal 2016;14(3):4420</t>
  </si>
  <si>
    <t>EFSA Journal 2017;15(9):4981</t>
  </si>
  <si>
    <t>EFSA Journal 2023:7852</t>
  </si>
  <si>
    <t>EFSA Journal 2014;12(1):3485</t>
  </si>
  <si>
    <t>EFSA Journal 2010;8(12):1871</t>
  </si>
  <si>
    <t>EFSA Journal 2019;17(3):559</t>
  </si>
  <si>
    <t>EFSA Journal 2017;15(10):4989</t>
  </si>
  <si>
    <t>substance</t>
  </si>
  <si>
    <t>alpha</t>
  </si>
  <si>
    <t>beta</t>
  </si>
  <si>
    <t>k1</t>
  </si>
  <si>
    <t>k2</t>
  </si>
  <si>
    <t>tb</t>
  </si>
  <si>
    <t>NA</t>
  </si>
  <si>
    <t>sk</t>
  </si>
  <si>
    <t>page</t>
  </si>
  <si>
    <t>selected</t>
  </si>
  <si>
    <t>reason</t>
  </si>
  <si>
    <t>note</t>
  </si>
  <si>
    <t>recorded</t>
  </si>
  <si>
    <t>checked</t>
  </si>
  <si>
    <t>g</t>
  </si>
  <si>
    <t>TRUE</t>
  </si>
  <si>
    <t>luel</t>
  </si>
  <si>
    <t>j.efsa.2017.4989</t>
  </si>
  <si>
    <t>j.efsa.2014.3237</t>
  </si>
  <si>
    <t>j.efsa.2013.3493</t>
  </si>
  <si>
    <t>j.efsa.2019.559</t>
  </si>
  <si>
    <t>j.efsa.2017.4981</t>
  </si>
  <si>
    <t>j.efsa.2023.8373</t>
  </si>
  <si>
    <t>EFSA Journal 2009;7(10):1350</t>
  </si>
  <si>
    <t>j.efsa.2009.1350</t>
  </si>
  <si>
    <t>EFSA Journal 2010;8(4):1542</t>
  </si>
  <si>
    <t>j.efsa.2010.1542</t>
  </si>
  <si>
    <t>EFSA Journal 2010;8(4):1565</t>
  </si>
  <si>
    <t>j.efsa.2010.1565</t>
  </si>
  <si>
    <t>EFSA Journal 2010;8(5):1598</t>
  </si>
  <si>
    <t>j.efsa.2010.1598</t>
  </si>
  <si>
    <t>EFSA Journal 2010;8(6):162</t>
  </si>
  <si>
    <t>j.efsa.2010.162</t>
  </si>
  <si>
    <t>EFSA Journal 2010;8(9):1707</t>
  </si>
  <si>
    <t>j.efsa.2010.1707</t>
  </si>
  <si>
    <t>j.efsa.2010.1897</t>
  </si>
  <si>
    <t>j.efsa.2010.1871</t>
  </si>
  <si>
    <t>EFSA Journal 2011;9(1):196</t>
  </si>
  <si>
    <t>j.efsa.2011.196</t>
  </si>
  <si>
    <t>j.efsa.2011.1967</t>
  </si>
  <si>
    <t>j.efsa.2012.2935</t>
  </si>
  <si>
    <t>j.efsa.2014.3485</t>
  </si>
  <si>
    <t>EFSA Journal 2016;14(1):4374</t>
  </si>
  <si>
    <t>j.efsa.2016.4374</t>
  </si>
  <si>
    <t>j.efsa.2016.4420</t>
  </si>
  <si>
    <t>j.efsa.2016.4518</t>
  </si>
  <si>
    <t>j.efsa.2017.4852</t>
  </si>
  <si>
    <t>j.efsa.2020.5985</t>
  </si>
  <si>
    <t>j.efsa.2023.7852</t>
  </si>
  <si>
    <t>EFSA Journal 2023:8373</t>
  </si>
  <si>
    <t>EFSA Journal 2024:8997</t>
  </si>
  <si>
    <t>j.efsa.2024.8997</t>
  </si>
  <si>
    <t>j.efsa.2025.9209</t>
  </si>
  <si>
    <t>Spirotetramat</t>
  </si>
  <si>
    <t>Folpet</t>
  </si>
  <si>
    <t>Cymoxanil</t>
  </si>
  <si>
    <t>j.efsa.2013.3243</t>
  </si>
  <si>
    <t>j.efsa.2008.137r</t>
  </si>
  <si>
    <t>DT50</t>
  </si>
  <si>
    <t>kinetics</t>
  </si>
  <si>
    <t>normalized max DT50 is 34.145 DFOP (k1=0.6515, k2=0.0203, g=0.2409, p44); Due to short application intervals (≤10d) lab DT50 20.6 d SFO was used as worst case for PECsoil calculations</t>
  </si>
  <si>
    <t>j.efsa.2008.167r</t>
  </si>
  <si>
    <t>7.3 is recalculated from normalized FOMC DT90/3.32  p64</t>
  </si>
  <si>
    <t>Copper</t>
  </si>
  <si>
    <t>No degradation is expected.</t>
  </si>
  <si>
    <t>j.efsa.2018.5152</t>
  </si>
  <si>
    <t>j.efsa.2018.5307</t>
  </si>
  <si>
    <t>Fosetyl-aluminium</t>
  </si>
  <si>
    <t>Sulfur</t>
  </si>
  <si>
    <t>j.efsa.2023.7805_LoEP</t>
  </si>
  <si>
    <t>no degradation for PEC soil assumed for EFSA PECsoil calculations; default value 1000 d used for PEC sw calculations; wrong DOI in LoEP PDF</t>
  </si>
  <si>
    <t>j.efsa.2023.8139_LoEP</t>
  </si>
  <si>
    <t>Chlorothalonil</t>
  </si>
  <si>
    <t>j.efsa.2018.5126</t>
  </si>
  <si>
    <t>j.efsa.2013.3148</t>
  </si>
  <si>
    <t>Benalaxyl-M</t>
  </si>
  <si>
    <t>Florasulam</t>
  </si>
  <si>
    <t>j.efsa.2015.3984</t>
  </si>
  <si>
    <t>Phenmedipham</t>
  </si>
  <si>
    <t>Desmedipham</t>
  </si>
  <si>
    <t>Isoproturon</t>
  </si>
  <si>
    <t>Metrafenone</t>
  </si>
  <si>
    <t>Dimethomorph</t>
  </si>
  <si>
    <t>j.efsa.2018.5151</t>
  </si>
  <si>
    <t>j.efsa.2018.5150</t>
  </si>
  <si>
    <t>j.efsa.2015.4206</t>
  </si>
  <si>
    <t>j.efsa.2023.8012</t>
  </si>
  <si>
    <t>DFOP</t>
  </si>
  <si>
    <t>j.efsa.2023.8032</t>
  </si>
  <si>
    <t>FOMC</t>
  </si>
  <si>
    <t>No pseudo DT50 calculated, as DT90 and DT50 are both &gt;1000d</t>
  </si>
  <si>
    <t>type</t>
  </si>
  <si>
    <t>EFSA PECsoil</t>
  </si>
  <si>
    <t>EFSA LoEP</t>
  </si>
  <si>
    <t>Worst case lab DT50</t>
  </si>
  <si>
    <t>rajo</t>
  </si>
  <si>
    <t>No DT50 required for PEC soil in 2015 EFSA conclusion, see p44, worst-case lab DT50 is from study at 10°C</t>
  </si>
  <si>
    <t>Propamocarb</t>
  </si>
  <si>
    <t>j.efsa.2015.3973</t>
  </si>
  <si>
    <t>no degradation considered</t>
  </si>
  <si>
    <t>j.efsa.2006.78r</t>
  </si>
  <si>
    <t>j.efsa.2014.3913</t>
  </si>
  <si>
    <t>EFSA PECsw</t>
  </si>
  <si>
    <t>mean (input for PEC sw)</t>
  </si>
  <si>
    <t>median (input for PEC sw)</t>
  </si>
  <si>
    <t>Halauxifen-methyl</t>
  </si>
  <si>
    <t>Ferric phosphate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</si>
</sst>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2" borderId="0" xfId="0" applyFill="1"/>
    <xf numFmtId="0" fontId="2" fillId="2" borderId="0" xfId="0" applyFont="1" applyFill="1"/>
    <xf numFmtId="0" fontId="3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BC253-0668-4FE2-BC14-84FC263B038A}">
  <dimension ref="A1:Q21"/>
  <sheetViews>
    <sheetView tabSelected="1" workbookViewId="0">
      <pane ySplit="1" topLeftCell="A2" activePane="bottomLeft" state="frozen"/>
      <selection pane="bottomLeft" activeCell="D21" sqref="D21"/>
    </sheetView>
  </sheetViews>
  <sheetFormatPr baseColWidth="10" defaultRowHeight="13.5" customHeight="1" x14ac:dyDescent="0.35"/>
  <cols>
    <col min="1" max="1" width="24" customWidth="1"/>
    <col min="2" max="2" width="24" style="3" customWidth="1"/>
    <col min="3" max="4" width="8.453125" customWidth="1"/>
    <col min="5" max="7" width="6.81640625" style="3" customWidth="1"/>
    <col min="8" max="8" width="9.1796875" style="3" customWidth="1"/>
    <col min="9" max="10" width="6.81640625" style="3" customWidth="1"/>
    <col min="11" max="11" width="15" customWidth="1"/>
    <col min="12" max="12" width="8.1796875" customWidth="1"/>
    <col min="14" max="14" width="33.1796875" customWidth="1"/>
  </cols>
  <sheetData>
    <row r="1" spans="1:17" s="2" customFormat="1" ht="14.5" x14ac:dyDescent="0.35">
      <c r="A1" s="1" t="s">
        <v>18</v>
      </c>
      <c r="B1" s="1" t="s">
        <v>109</v>
      </c>
      <c r="C1" s="1" t="s">
        <v>76</v>
      </c>
      <c r="D1" s="1" t="s">
        <v>77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32</v>
      </c>
      <c r="J1" s="1" t="s">
        <v>23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</row>
    <row r="2" spans="1:17" ht="13.5" customHeight="1" x14ac:dyDescent="0.35">
      <c r="A2" t="s">
        <v>71</v>
      </c>
      <c r="B2" s="3" t="s">
        <v>110</v>
      </c>
      <c r="C2">
        <v>1</v>
      </c>
      <c r="D2" t="s">
        <v>0</v>
      </c>
      <c r="K2" t="s">
        <v>74</v>
      </c>
      <c r="L2">
        <v>47</v>
      </c>
      <c r="M2" s="3" t="s">
        <v>33</v>
      </c>
      <c r="N2" s="3" t="s">
        <v>111</v>
      </c>
      <c r="P2" t="s">
        <v>34</v>
      </c>
    </row>
    <row r="3" spans="1:17" s="4" customFormat="1" ht="13.5" customHeight="1" x14ac:dyDescent="0.35">
      <c r="A3" s="4" t="s">
        <v>86</v>
      </c>
      <c r="B3" s="3" t="s">
        <v>110</v>
      </c>
      <c r="C3" s="4" t="s">
        <v>24</v>
      </c>
      <c r="K3" s="4" t="s">
        <v>87</v>
      </c>
      <c r="L3" s="4">
        <v>39</v>
      </c>
      <c r="M3" s="4" t="s">
        <v>33</v>
      </c>
      <c r="N3" s="3" t="s">
        <v>111</v>
      </c>
      <c r="O3" s="4" t="s">
        <v>88</v>
      </c>
      <c r="P3" s="4" t="s">
        <v>34</v>
      </c>
    </row>
    <row r="4" spans="1:17" s="4" customFormat="1" ht="13.5" customHeight="1" x14ac:dyDescent="0.35">
      <c r="A4" s="4" t="s">
        <v>72</v>
      </c>
      <c r="B4" s="3" t="s">
        <v>110</v>
      </c>
      <c r="C4" s="4">
        <v>20.6</v>
      </c>
      <c r="D4" s="4" t="s">
        <v>0</v>
      </c>
      <c r="K4" s="4" t="s">
        <v>89</v>
      </c>
      <c r="L4" s="4">
        <v>57</v>
      </c>
      <c r="M4" s="4" t="s">
        <v>33</v>
      </c>
      <c r="N4" s="3" t="s">
        <v>111</v>
      </c>
      <c r="O4" s="4" t="s">
        <v>78</v>
      </c>
      <c r="P4" s="4" t="s">
        <v>34</v>
      </c>
    </row>
    <row r="5" spans="1:17" s="4" customFormat="1" ht="13.5" customHeight="1" x14ac:dyDescent="0.35">
      <c r="A5" s="4" t="s">
        <v>7</v>
      </c>
      <c r="B5" s="3" t="s">
        <v>110</v>
      </c>
      <c r="C5" s="4">
        <v>226</v>
      </c>
      <c r="D5" s="4" t="s">
        <v>0</v>
      </c>
      <c r="K5" s="4" t="s">
        <v>75</v>
      </c>
      <c r="L5" s="4">
        <v>57</v>
      </c>
      <c r="M5" s="4" t="s">
        <v>33</v>
      </c>
      <c r="N5" s="3" t="s">
        <v>111</v>
      </c>
      <c r="P5" s="4" t="s">
        <v>34</v>
      </c>
    </row>
    <row r="6" spans="1:17" ht="13.5" customHeight="1" x14ac:dyDescent="0.35">
      <c r="A6" t="s">
        <v>73</v>
      </c>
      <c r="B6" s="3" t="s">
        <v>110</v>
      </c>
      <c r="C6" s="6">
        <v>7.3</v>
      </c>
      <c r="D6" s="5" t="s">
        <v>0</v>
      </c>
      <c r="K6" t="s">
        <v>79</v>
      </c>
      <c r="L6" s="4">
        <v>70</v>
      </c>
      <c r="M6" s="3" t="s">
        <v>33</v>
      </c>
      <c r="N6" s="3" t="s">
        <v>111</v>
      </c>
      <c r="O6" s="5" t="s">
        <v>80</v>
      </c>
      <c r="P6" s="3" t="s">
        <v>34</v>
      </c>
    </row>
    <row r="7" spans="1:17" ht="13.5" customHeight="1" x14ac:dyDescent="0.35">
      <c r="A7" t="s">
        <v>85</v>
      </c>
      <c r="B7" s="3" t="s">
        <v>110</v>
      </c>
      <c r="C7" s="4">
        <v>0.1</v>
      </c>
      <c r="D7" s="4" t="s">
        <v>0</v>
      </c>
      <c r="K7" t="s">
        <v>84</v>
      </c>
      <c r="L7" s="4">
        <v>44</v>
      </c>
      <c r="M7" s="3" t="s">
        <v>33</v>
      </c>
      <c r="N7" s="3" t="s">
        <v>111</v>
      </c>
      <c r="P7" s="3" t="s">
        <v>34</v>
      </c>
    </row>
    <row r="8" spans="1:17" ht="13.5" customHeight="1" x14ac:dyDescent="0.35">
      <c r="A8" t="s">
        <v>81</v>
      </c>
      <c r="B8" s="3" t="s">
        <v>110</v>
      </c>
      <c r="C8" t="s">
        <v>24</v>
      </c>
      <c r="K8" t="s">
        <v>83</v>
      </c>
      <c r="L8">
        <v>59</v>
      </c>
      <c r="M8" s="3" t="s">
        <v>33</v>
      </c>
      <c r="N8" s="3" t="s">
        <v>111</v>
      </c>
      <c r="O8" t="s">
        <v>82</v>
      </c>
      <c r="P8" s="3" t="s">
        <v>34</v>
      </c>
    </row>
    <row r="9" spans="1:17" ht="13.5" customHeight="1" x14ac:dyDescent="0.35">
      <c r="A9" t="s">
        <v>90</v>
      </c>
      <c r="B9" s="3" t="s">
        <v>110</v>
      </c>
      <c r="C9">
        <v>28.4</v>
      </c>
      <c r="D9" t="s">
        <v>0</v>
      </c>
      <c r="K9" t="s">
        <v>91</v>
      </c>
      <c r="L9">
        <v>78</v>
      </c>
      <c r="M9" s="3" t="s">
        <v>33</v>
      </c>
      <c r="N9" s="3" t="s">
        <v>111</v>
      </c>
      <c r="P9" t="s">
        <v>34</v>
      </c>
    </row>
    <row r="10" spans="1:17" ht="13.5" customHeight="1" x14ac:dyDescent="0.35">
      <c r="A10" t="s">
        <v>93</v>
      </c>
      <c r="B10" s="3" t="s">
        <v>110</v>
      </c>
      <c r="C10">
        <v>98</v>
      </c>
      <c r="D10" t="s">
        <v>0</v>
      </c>
      <c r="K10" t="s">
        <v>92</v>
      </c>
      <c r="L10">
        <v>34</v>
      </c>
      <c r="M10" s="3" t="s">
        <v>33</v>
      </c>
      <c r="N10" s="3" t="s">
        <v>111</v>
      </c>
      <c r="P10" t="s">
        <v>34</v>
      </c>
    </row>
    <row r="11" spans="1:17" s="3" customFormat="1" ht="13.5" customHeight="1" x14ac:dyDescent="0.35">
      <c r="A11" s="3" t="s">
        <v>94</v>
      </c>
      <c r="B11" s="3" t="s">
        <v>110</v>
      </c>
      <c r="C11" s="3">
        <v>4.29</v>
      </c>
      <c r="D11" s="3" t="s">
        <v>0</v>
      </c>
      <c r="K11" s="3" t="s">
        <v>95</v>
      </c>
      <c r="L11" s="3">
        <v>56</v>
      </c>
      <c r="M11" s="3" t="s">
        <v>33</v>
      </c>
      <c r="N11" s="3" t="s">
        <v>111</v>
      </c>
      <c r="P11" s="3" t="s">
        <v>34</v>
      </c>
    </row>
    <row r="12" spans="1:17" ht="13.5" customHeight="1" x14ac:dyDescent="0.35">
      <c r="A12" t="s">
        <v>96</v>
      </c>
      <c r="B12" s="3" t="s">
        <v>110</v>
      </c>
      <c r="C12">
        <v>139.5</v>
      </c>
      <c r="D12" t="s">
        <v>0</v>
      </c>
      <c r="K12" t="s">
        <v>101</v>
      </c>
      <c r="L12">
        <v>41</v>
      </c>
      <c r="M12" t="s">
        <v>33</v>
      </c>
      <c r="N12" s="3" t="s">
        <v>111</v>
      </c>
      <c r="P12" t="s">
        <v>34</v>
      </c>
    </row>
    <row r="13" spans="1:17" ht="13.5" customHeight="1" x14ac:dyDescent="0.35">
      <c r="A13" t="s">
        <v>97</v>
      </c>
      <c r="B13" s="3" t="s">
        <v>110</v>
      </c>
      <c r="C13">
        <v>184.9</v>
      </c>
      <c r="D13" t="s">
        <v>0</v>
      </c>
      <c r="K13" t="s">
        <v>102</v>
      </c>
      <c r="L13">
        <v>40</v>
      </c>
      <c r="M13" t="s">
        <v>33</v>
      </c>
      <c r="N13" s="3" t="s">
        <v>111</v>
      </c>
      <c r="P13" t="s">
        <v>34</v>
      </c>
    </row>
    <row r="14" spans="1:17" ht="13.5" customHeight="1" x14ac:dyDescent="0.35">
      <c r="A14" t="s">
        <v>98</v>
      </c>
      <c r="B14" s="3" t="s">
        <v>112</v>
      </c>
      <c r="C14">
        <v>29.6</v>
      </c>
      <c r="D14" t="s">
        <v>0</v>
      </c>
      <c r="K14" t="s">
        <v>103</v>
      </c>
      <c r="L14">
        <v>37</v>
      </c>
      <c r="M14" t="s">
        <v>33</v>
      </c>
      <c r="N14" s="3" t="s">
        <v>111</v>
      </c>
      <c r="O14" s="5" t="s">
        <v>114</v>
      </c>
      <c r="P14" s="4" t="s">
        <v>34</v>
      </c>
      <c r="Q14" s="4" t="s">
        <v>113</v>
      </c>
    </row>
    <row r="15" spans="1:17" ht="13.5" customHeight="1" x14ac:dyDescent="0.35">
      <c r="A15" t="s">
        <v>99</v>
      </c>
      <c r="B15" s="3" t="s">
        <v>110</v>
      </c>
      <c r="C15">
        <f>LN(2)/H15</f>
        <v>533.19013889226562</v>
      </c>
      <c r="D15" t="s">
        <v>105</v>
      </c>
      <c r="G15" s="3">
        <v>0.20599999999999999</v>
      </c>
      <c r="H15" s="3">
        <v>1.2999999999999999E-3</v>
      </c>
      <c r="I15" s="3">
        <v>0.19139999999999999</v>
      </c>
      <c r="K15" t="s">
        <v>104</v>
      </c>
      <c r="L15">
        <v>33</v>
      </c>
      <c r="M15" t="s">
        <v>33</v>
      </c>
      <c r="N15" s="3" t="s">
        <v>111</v>
      </c>
      <c r="P15" s="4" t="s">
        <v>34</v>
      </c>
    </row>
    <row r="16" spans="1:17" ht="13.5" customHeight="1" x14ac:dyDescent="0.35">
      <c r="A16" t="s">
        <v>100</v>
      </c>
      <c r="B16" s="3" t="s">
        <v>110</v>
      </c>
      <c r="C16" s="7" t="s">
        <v>24</v>
      </c>
      <c r="D16" t="s">
        <v>107</v>
      </c>
      <c r="E16" s="3">
        <v>0.18084</v>
      </c>
      <c r="F16" s="3">
        <v>2.6067999999999998</v>
      </c>
      <c r="K16" t="s">
        <v>106</v>
      </c>
      <c r="L16">
        <v>56</v>
      </c>
      <c r="M16" s="3" t="s">
        <v>33</v>
      </c>
      <c r="N16" s="3" t="s">
        <v>111</v>
      </c>
      <c r="O16" s="4" t="s">
        <v>108</v>
      </c>
      <c r="P16" s="4" t="s">
        <v>34</v>
      </c>
    </row>
    <row r="17" spans="1:16" s="3" customFormat="1" ht="13.5" customHeight="1" x14ac:dyDescent="0.35">
      <c r="A17" s="3" t="s">
        <v>115</v>
      </c>
      <c r="B17" s="3" t="s">
        <v>110</v>
      </c>
      <c r="C17" s="3">
        <v>136</v>
      </c>
      <c r="D17" s="3" t="s">
        <v>0</v>
      </c>
      <c r="K17" s="3" t="s">
        <v>118</v>
      </c>
      <c r="L17" s="3">
        <v>60</v>
      </c>
      <c r="M17" s="3" t="s">
        <v>33</v>
      </c>
      <c r="N17" s="3" t="s">
        <v>111</v>
      </c>
      <c r="P17" s="4" t="s">
        <v>34</v>
      </c>
    </row>
    <row r="18" spans="1:16" ht="13.5" customHeight="1" x14ac:dyDescent="0.35">
      <c r="A18" s="3" t="s">
        <v>115</v>
      </c>
      <c r="B18" s="3" t="s">
        <v>120</v>
      </c>
      <c r="C18">
        <v>10.19</v>
      </c>
      <c r="D18" t="s">
        <v>0</v>
      </c>
      <c r="K18" s="3" t="s">
        <v>118</v>
      </c>
      <c r="L18">
        <v>64</v>
      </c>
      <c r="M18" t="s">
        <v>33</v>
      </c>
      <c r="N18" s="3" t="s">
        <v>111</v>
      </c>
      <c r="O18" t="s">
        <v>122</v>
      </c>
      <c r="P18" s="4" t="s">
        <v>34</v>
      </c>
    </row>
    <row r="19" spans="1:16" s="3" customFormat="1" ht="13.5" customHeight="1" x14ac:dyDescent="0.35">
      <c r="A19" s="3" t="s">
        <v>123</v>
      </c>
      <c r="B19" s="3" t="s">
        <v>110</v>
      </c>
      <c r="C19" s="3">
        <v>43</v>
      </c>
      <c r="D19" s="3" t="s">
        <v>0</v>
      </c>
      <c r="K19" s="3" t="s">
        <v>119</v>
      </c>
      <c r="L19" s="3">
        <v>56</v>
      </c>
      <c r="M19" s="3" t="s">
        <v>33</v>
      </c>
      <c r="N19" s="3" t="s">
        <v>111</v>
      </c>
      <c r="P19" s="4" t="s">
        <v>34</v>
      </c>
    </row>
    <row r="20" spans="1:16" ht="13.5" customHeight="1" x14ac:dyDescent="0.35">
      <c r="A20" s="3" t="s">
        <v>123</v>
      </c>
      <c r="B20" s="3" t="s">
        <v>120</v>
      </c>
      <c r="C20">
        <v>20</v>
      </c>
      <c r="D20" t="s">
        <v>0</v>
      </c>
      <c r="K20" t="s">
        <v>119</v>
      </c>
      <c r="L20">
        <v>56</v>
      </c>
      <c r="M20" s="3" t="s">
        <v>33</v>
      </c>
      <c r="N20" s="3" t="s">
        <v>111</v>
      </c>
      <c r="O20" s="3" t="s">
        <v>121</v>
      </c>
      <c r="P20" s="4" t="s">
        <v>34</v>
      </c>
    </row>
    <row r="21" spans="1:16" ht="13.5" customHeight="1" x14ac:dyDescent="0.35">
      <c r="A21" s="3" t="s">
        <v>124</v>
      </c>
      <c r="B21" s="3" t="s">
        <v>110</v>
      </c>
      <c r="C21" t="s">
        <v>24</v>
      </c>
      <c r="K21" t="s">
        <v>116</v>
      </c>
      <c r="L21">
        <v>34</v>
      </c>
      <c r="M21" t="s">
        <v>33</v>
      </c>
      <c r="N21" s="3" t="s">
        <v>111</v>
      </c>
      <c r="O21" t="s">
        <v>117</v>
      </c>
      <c r="P21" t="s">
        <v>34</v>
      </c>
    </row>
  </sheetData>
  <autoFilter ref="A1:Q1" xr:uid="{44ABC253-0668-4FE2-BC14-84FC263B038A}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D96ED-6947-4032-A468-AE450047F46C}">
  <dimension ref="A1:B26"/>
  <sheetViews>
    <sheetView workbookViewId="0">
      <selection activeCell="B1" sqref="B1:B26"/>
    </sheetView>
  </sheetViews>
  <sheetFormatPr baseColWidth="10" defaultRowHeight="14.5" x14ac:dyDescent="0.35"/>
  <sheetData>
    <row r="1" spans="1:2" x14ac:dyDescent="0.35">
      <c r="A1" t="s">
        <v>41</v>
      </c>
      <c r="B1" t="s">
        <v>42</v>
      </c>
    </row>
    <row r="2" spans="1:2" x14ac:dyDescent="0.35">
      <c r="A2" t="s">
        <v>43</v>
      </c>
      <c r="B2" t="s">
        <v>44</v>
      </c>
    </row>
    <row r="3" spans="1:2" x14ac:dyDescent="0.35">
      <c r="A3" t="s">
        <v>45</v>
      </c>
      <c r="B3" t="s">
        <v>46</v>
      </c>
    </row>
    <row r="4" spans="1:2" x14ac:dyDescent="0.35">
      <c r="A4" t="s">
        <v>47</v>
      </c>
      <c r="B4" t="s">
        <v>48</v>
      </c>
    </row>
    <row r="5" spans="1:2" x14ac:dyDescent="0.35">
      <c r="A5" t="s">
        <v>49</v>
      </c>
      <c r="B5" t="s">
        <v>50</v>
      </c>
    </row>
    <row r="6" spans="1:2" x14ac:dyDescent="0.35">
      <c r="A6" t="s">
        <v>51</v>
      </c>
      <c r="B6" t="s">
        <v>52</v>
      </c>
    </row>
    <row r="7" spans="1:2" x14ac:dyDescent="0.35">
      <c r="A7" t="s">
        <v>3</v>
      </c>
      <c r="B7" t="s">
        <v>53</v>
      </c>
    </row>
    <row r="8" spans="1:2" x14ac:dyDescent="0.35">
      <c r="A8" t="s">
        <v>15</v>
      </c>
      <c r="B8" t="s">
        <v>54</v>
      </c>
    </row>
    <row r="9" spans="1:2" x14ac:dyDescent="0.35">
      <c r="A9" t="s">
        <v>55</v>
      </c>
      <c r="B9" t="s">
        <v>56</v>
      </c>
    </row>
    <row r="10" spans="1:2" x14ac:dyDescent="0.35">
      <c r="A10" t="s">
        <v>5</v>
      </c>
      <c r="B10" t="s">
        <v>57</v>
      </c>
    </row>
    <row r="11" spans="1:2" x14ac:dyDescent="0.35">
      <c r="A11" t="s">
        <v>9</v>
      </c>
      <c r="B11" t="s">
        <v>58</v>
      </c>
    </row>
    <row r="12" spans="1:2" x14ac:dyDescent="0.35">
      <c r="A12" t="s">
        <v>6</v>
      </c>
      <c r="B12" t="s">
        <v>37</v>
      </c>
    </row>
    <row r="13" spans="1:2" x14ac:dyDescent="0.35">
      <c r="A13" t="s">
        <v>14</v>
      </c>
      <c r="B13" t="s">
        <v>59</v>
      </c>
    </row>
    <row r="14" spans="1:2" x14ac:dyDescent="0.35">
      <c r="A14" t="s">
        <v>1</v>
      </c>
      <c r="B14" t="s">
        <v>36</v>
      </c>
    </row>
    <row r="15" spans="1:2" x14ac:dyDescent="0.35">
      <c r="A15" t="s">
        <v>60</v>
      </c>
      <c r="B15" t="s">
        <v>61</v>
      </c>
    </row>
    <row r="16" spans="1:2" x14ac:dyDescent="0.35">
      <c r="A16" t="s">
        <v>11</v>
      </c>
      <c r="B16" t="s">
        <v>62</v>
      </c>
    </row>
    <row r="17" spans="1:2" x14ac:dyDescent="0.35">
      <c r="A17" t="s">
        <v>8</v>
      </c>
      <c r="B17" t="s">
        <v>63</v>
      </c>
    </row>
    <row r="18" spans="1:2" x14ac:dyDescent="0.35">
      <c r="A18" t="s">
        <v>17</v>
      </c>
      <c r="B18" t="s">
        <v>35</v>
      </c>
    </row>
    <row r="19" spans="1:2" x14ac:dyDescent="0.35">
      <c r="A19" t="s">
        <v>10</v>
      </c>
      <c r="B19" t="s">
        <v>64</v>
      </c>
    </row>
    <row r="20" spans="1:2" x14ac:dyDescent="0.35">
      <c r="A20" t="s">
        <v>12</v>
      </c>
      <c r="B20" t="s">
        <v>39</v>
      </c>
    </row>
    <row r="21" spans="1:2" x14ac:dyDescent="0.35">
      <c r="A21" t="s">
        <v>16</v>
      </c>
      <c r="B21" t="s">
        <v>38</v>
      </c>
    </row>
    <row r="22" spans="1:2" x14ac:dyDescent="0.35">
      <c r="A22" t="s">
        <v>2</v>
      </c>
      <c r="B22" t="s">
        <v>65</v>
      </c>
    </row>
    <row r="23" spans="1:2" x14ac:dyDescent="0.35">
      <c r="A23" t="s">
        <v>13</v>
      </c>
      <c r="B23" t="s">
        <v>66</v>
      </c>
    </row>
    <row r="24" spans="1:2" x14ac:dyDescent="0.35">
      <c r="A24" t="s">
        <v>67</v>
      </c>
      <c r="B24" t="s">
        <v>40</v>
      </c>
    </row>
    <row r="25" spans="1:2" x14ac:dyDescent="0.35">
      <c r="A25" t="s">
        <v>68</v>
      </c>
      <c r="B25" t="s">
        <v>69</v>
      </c>
    </row>
    <row r="26" spans="1:2" x14ac:dyDescent="0.35">
      <c r="A26" t="s">
        <v>4</v>
      </c>
      <c r="B26" t="s">
        <v>70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Lutz Elisabeth</dc:creator>
  <cp:lastModifiedBy>Lutz Elisabeth</cp:lastModifiedBy>
  <dcterms:created xsi:type="dcterms:W3CDTF">2015-06-05T18:19:34Z</dcterms:created>
  <dcterms:modified xsi:type="dcterms:W3CDTF">2026-08-20T08:14:36Z</dcterms:modified>
</cp:coreProperties>
</file>